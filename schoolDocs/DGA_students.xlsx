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6349339d5d8704f2/Desktop/"/>
    </mc:Choice>
  </mc:AlternateContent>
  <xr:revisionPtr revIDLastSave="4" documentId="13_ncr:1_{2EF0706F-325D-44EE-805B-DCAFA2E56B0D}" xr6:coauthVersionLast="47" xr6:coauthVersionMax="47" xr10:uidLastSave="{A1E8CE0C-134B-4A28-A3C0-DA2E4B420CCC}"/>
  <bookViews>
    <workbookView xWindow="-108" yWindow="-108" windowWidth="23256" windowHeight="12456" activeTab="1" xr2:uid="{00000000-000D-0000-FFFF-FFFF00000000}"/>
  </bookViews>
  <sheets>
    <sheet name="Nursery" sheetId="1" r:id="rId1"/>
    <sheet name="LKG" sheetId="5" r:id="rId2"/>
    <sheet name="UKG" sheetId="2" r:id="rId3"/>
    <sheet name="1st" sheetId="3" r:id="rId4"/>
    <sheet name="2nd" sheetId="4" r:id="rId5"/>
    <sheet name="3rd" sheetId="6" r:id="rId6"/>
    <sheet name="4th" sheetId="7" r:id="rId7"/>
    <sheet name="5th" sheetId="8" r:id="rId8"/>
    <sheet name="6th" sheetId="9" r:id="rId9"/>
    <sheet name="7th" sheetId="10" r:id="rId10"/>
    <sheet name="8th" sheetId="11" r:id="rId11"/>
  </sheets>
  <definedNames>
    <definedName name="_xlnm._FilterDatabase" localSheetId="0" hidden="1">Nursery!$A$2:$L$21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7" i="4" l="1"/>
  <c r="I20" i="4"/>
  <c r="I18" i="10"/>
  <c r="I20" i="9"/>
  <c r="I32" i="7"/>
  <c r="I4" i="11"/>
  <c r="I9" i="10"/>
  <c r="I10" i="10"/>
  <c r="I11" i="10"/>
  <c r="I8" i="10"/>
  <c r="I8" i="11"/>
  <c r="H8" i="11"/>
  <c r="H4" i="11"/>
  <c r="I4" i="10"/>
  <c r="I5" i="10"/>
  <c r="I6" i="10"/>
  <c r="I7" i="10"/>
  <c r="I12" i="10"/>
  <c r="I15" i="10"/>
  <c r="I3" i="10"/>
  <c r="H10" i="10"/>
  <c r="H11" i="10"/>
  <c r="H9" i="10"/>
  <c r="H8" i="10"/>
  <c r="H3" i="9"/>
  <c r="H9" i="8"/>
  <c r="H11" i="8"/>
  <c r="H12" i="8"/>
  <c r="H16" i="8"/>
  <c r="H28" i="8"/>
  <c r="H16" i="7"/>
  <c r="H15" i="7"/>
  <c r="H13" i="4"/>
  <c r="H12" i="4"/>
  <c r="H10" i="4"/>
  <c r="H7" i="6"/>
  <c r="H6" i="6"/>
  <c r="H14" i="3"/>
  <c r="H22" i="3" s="1"/>
  <c r="I22" i="3" s="1"/>
  <c r="F20" i="11"/>
  <c r="G18" i="10"/>
  <c r="H18" i="10"/>
  <c r="F18" i="10"/>
  <c r="H20" i="9"/>
  <c r="F20" i="9"/>
  <c r="F32" i="7"/>
  <c r="H32" i="7"/>
  <c r="H26" i="6"/>
  <c r="I26" i="6" s="1"/>
  <c r="F26" i="6"/>
  <c r="H20" i="4"/>
  <c r="F20" i="4"/>
  <c r="F22" i="3"/>
  <c r="H17" i="2"/>
  <c r="F17" i="2"/>
  <c r="H12" i="5"/>
  <c r="H16" i="5" s="1"/>
  <c r="F12" i="5"/>
  <c r="F6" i="1"/>
  <c r="I6" i="1" s="1"/>
  <c r="I10" i="1" s="1"/>
  <c r="H10" i="1"/>
  <c r="F10" i="1"/>
  <c r="F7" i="8"/>
  <c r="I17" i="2"/>
  <c r="I5" i="11"/>
  <c r="I6" i="11"/>
  <c r="I7" i="11"/>
  <c r="I10" i="11"/>
  <c r="I13" i="11"/>
  <c r="I14" i="11"/>
  <c r="I16" i="11"/>
  <c r="I17" i="11"/>
  <c r="I3" i="11"/>
  <c r="I19" i="11"/>
  <c r="I19" i="9"/>
  <c r="I18" i="9"/>
  <c r="I16" i="9"/>
  <c r="I14" i="9"/>
  <c r="I13" i="9"/>
  <c r="I11" i="9"/>
  <c r="I8" i="9"/>
  <c r="I6" i="9"/>
  <c r="I5" i="9"/>
  <c r="I25" i="8"/>
  <c r="I24" i="8"/>
  <c r="I23" i="8"/>
  <c r="I21" i="8"/>
  <c r="I20" i="8"/>
  <c r="I19" i="8"/>
  <c r="I18" i="8"/>
  <c r="I15" i="8"/>
  <c r="I10" i="8"/>
  <c r="I5" i="8"/>
  <c r="I3" i="8"/>
  <c r="I30" i="7"/>
  <c r="I29" i="7"/>
  <c r="I28" i="7"/>
  <c r="I27" i="7"/>
  <c r="I26" i="7"/>
  <c r="I25" i="7"/>
  <c r="I24" i="7"/>
  <c r="I23" i="7"/>
  <c r="I22" i="7"/>
  <c r="I21" i="7"/>
  <c r="I20" i="7"/>
  <c r="I19" i="7"/>
  <c r="I13" i="7"/>
  <c r="I12" i="7"/>
  <c r="I11" i="7"/>
  <c r="I9" i="7"/>
  <c r="I8" i="7"/>
  <c r="I7" i="7"/>
  <c r="I6" i="7"/>
  <c r="I5" i="7"/>
  <c r="I4" i="7"/>
  <c r="I3" i="7"/>
  <c r="I15" i="4"/>
  <c r="I14" i="4"/>
  <c r="I8" i="4"/>
  <c r="I7" i="4"/>
  <c r="I6" i="4"/>
  <c r="I5" i="4"/>
  <c r="I4" i="4"/>
  <c r="I3" i="4"/>
  <c r="I15" i="2"/>
  <c r="I14" i="2"/>
  <c r="I13" i="2"/>
  <c r="I12" i="2"/>
  <c r="I10" i="2"/>
  <c r="I9" i="2"/>
  <c r="I8" i="2"/>
  <c r="I5" i="2"/>
  <c r="I4" i="2"/>
  <c r="I3" i="2"/>
  <c r="I21" i="6"/>
  <c r="I20" i="6"/>
  <c r="I19" i="6"/>
  <c r="I17" i="6"/>
  <c r="I16" i="6"/>
  <c r="I15" i="6"/>
  <c r="I14" i="6"/>
  <c r="I8" i="6"/>
  <c r="I5" i="6"/>
  <c r="I4" i="6"/>
  <c r="I3" i="6"/>
  <c r="I20" i="3"/>
  <c r="I19" i="3"/>
  <c r="I17" i="3"/>
  <c r="I16" i="3"/>
  <c r="I13" i="3"/>
  <c r="I11" i="3"/>
  <c r="I9" i="3"/>
  <c r="I8" i="3"/>
  <c r="I7" i="3"/>
  <c r="I5" i="3"/>
  <c r="I11" i="5"/>
  <c r="I9" i="5"/>
  <c r="I8" i="5"/>
  <c r="I7" i="5"/>
  <c r="I6" i="5"/>
  <c r="I5" i="5"/>
  <c r="I4" i="5"/>
  <c r="I8" i="1"/>
  <c r="I7" i="1"/>
  <c r="I4" i="1"/>
  <c r="I3" i="1"/>
  <c r="I7" i="8" l="1"/>
  <c r="F28" i="8"/>
  <c r="I28" i="8" s="1"/>
  <c r="G14" i="1"/>
  <c r="H20" i="11"/>
  <c r="I23" i="11" s="1"/>
  <c r="I23" i="9"/>
  <c r="H35" i="7"/>
  <c r="H22" i="4"/>
  <c r="H29" i="6"/>
  <c r="H25" i="3"/>
  <c r="H19" i="2"/>
  <c r="I21" i="10"/>
  <c r="I12" i="5"/>
  <c r="I20" i="11" l="1"/>
  <c r="I30" i="8"/>
</calcChain>
</file>

<file path=xl/sharedStrings.xml><?xml version="1.0" encoding="utf-8"?>
<sst xmlns="http://schemas.openxmlformats.org/spreadsheetml/2006/main" count="1306" uniqueCount="367">
  <si>
    <t>Fee Collection 2025-26</t>
  </si>
  <si>
    <t>Sr.No</t>
  </si>
  <si>
    <t>Student Name</t>
  </si>
  <si>
    <t>Gender</t>
  </si>
  <si>
    <t>Class</t>
  </si>
  <si>
    <t>Total Fee</t>
  </si>
  <si>
    <t>Discount/RTE</t>
  </si>
  <si>
    <t>Collected Fee</t>
  </si>
  <si>
    <t>Remaimng fee</t>
  </si>
  <si>
    <t>Challan No.</t>
  </si>
  <si>
    <t>Date</t>
  </si>
  <si>
    <t>Mode of Payment</t>
  </si>
  <si>
    <t>Village</t>
  </si>
  <si>
    <t>Distance</t>
  </si>
  <si>
    <t>Father Occupation</t>
  </si>
  <si>
    <t>Mother occupation</t>
  </si>
  <si>
    <t>Kamlesh  Lakshman  Chaudhari</t>
  </si>
  <si>
    <t>Boy</t>
  </si>
  <si>
    <t>Nursery</t>
  </si>
  <si>
    <t>Chaufula</t>
  </si>
  <si>
    <t>1.5km</t>
  </si>
  <si>
    <t>Prithviraj  Somnath  Thorat</t>
  </si>
  <si>
    <t>Free</t>
  </si>
  <si>
    <t>Varvand</t>
  </si>
  <si>
    <t>6km</t>
  </si>
  <si>
    <t>Driver</t>
  </si>
  <si>
    <t>Home maker</t>
  </si>
  <si>
    <t>Rajvir Khanderao Devkar</t>
  </si>
  <si>
    <t>Kedgaon</t>
  </si>
  <si>
    <t>Aaradhya  Devidas  Kalapahad</t>
  </si>
  <si>
    <t>Girl</t>
  </si>
  <si>
    <t>Baravkarvadi</t>
  </si>
  <si>
    <t>3km</t>
  </si>
  <si>
    <t>Worker</t>
  </si>
  <si>
    <t>Sukanya  Hake</t>
  </si>
  <si>
    <t>Khutbav</t>
  </si>
  <si>
    <t>10km</t>
  </si>
  <si>
    <t>Sanchita Gautam</t>
  </si>
  <si>
    <t>Vedika   Kiran  Zamadar</t>
  </si>
  <si>
    <t>LKG</t>
  </si>
  <si>
    <t>Wakdapul</t>
  </si>
  <si>
    <t>Swamini  Rajesh  Karde</t>
  </si>
  <si>
    <t>Hotel Manager</t>
  </si>
  <si>
    <t>Service</t>
  </si>
  <si>
    <t>Rashmika  Mahendra   Paithanpagere</t>
  </si>
  <si>
    <t>Tulevasti</t>
  </si>
  <si>
    <t>700metre</t>
  </si>
  <si>
    <t>Swaranjali   Sagar  Tule</t>
  </si>
  <si>
    <t>Kesskervasti</t>
  </si>
  <si>
    <t>500metre</t>
  </si>
  <si>
    <t>Gayatri  Bharat  Jadhav</t>
  </si>
  <si>
    <t>free</t>
  </si>
  <si>
    <t>Cahaufula</t>
  </si>
  <si>
    <t>Savi  Deepak  Lonkar</t>
  </si>
  <si>
    <t>Boripardhi</t>
  </si>
  <si>
    <t>Vegetable seller</t>
  </si>
  <si>
    <t>Kshitija  Khanderao  Devkar</t>
  </si>
  <si>
    <t>Dhanashree  C   kokare</t>
  </si>
  <si>
    <t>Shepherd</t>
  </si>
  <si>
    <t>Pranav   Sharad   Gorgal</t>
  </si>
  <si>
    <t>RTE</t>
  </si>
  <si>
    <t>No  Chllan</t>
  </si>
  <si>
    <t>No</t>
  </si>
  <si>
    <t>Watchman at a company</t>
  </si>
  <si>
    <t>Home Maker</t>
  </si>
  <si>
    <t>Om   Sunil  Ingle</t>
  </si>
  <si>
    <t>WORK in Company</t>
  </si>
  <si>
    <t>Devansh  Swapnil  Jadhav</t>
  </si>
  <si>
    <t>Siddhiraj  Baburao  Kolpe</t>
  </si>
  <si>
    <t>Keskarvasti</t>
  </si>
  <si>
    <t>Works at her own farm</t>
  </si>
  <si>
    <t>Kartik  D   Nevase</t>
  </si>
  <si>
    <t>Works at mobile shop</t>
  </si>
  <si>
    <t>Soham  Amol  Pathare</t>
  </si>
  <si>
    <t xml:space="preserve">Works at Sayadri </t>
  </si>
  <si>
    <t>Arafat  M  Ansari</t>
  </si>
  <si>
    <t xml:space="preserve">Bakery shop on wheelbarrow </t>
  </si>
  <si>
    <t>Ayush Asgar    Shaikh</t>
  </si>
  <si>
    <t>COC</t>
  </si>
  <si>
    <t>Kasurdi</t>
  </si>
  <si>
    <t>19km</t>
  </si>
  <si>
    <t xml:space="preserve">Samarthraj   Ajithkumar  Desinayak  </t>
  </si>
  <si>
    <t>Jivnath   Navnath Pawar</t>
  </si>
  <si>
    <t>C O C</t>
  </si>
  <si>
    <t>Vedansh  Popat  Yale</t>
  </si>
  <si>
    <t>Swaraj Lakshman  Kashid</t>
  </si>
  <si>
    <t>Yash  Raju  Sarode</t>
  </si>
  <si>
    <t>Aryan  Ganesh  Pawar</t>
  </si>
  <si>
    <t>2718+2828</t>
  </si>
  <si>
    <t>17-6+30-10-2025</t>
  </si>
  <si>
    <t>Chaitrali    Rahul   Chaudhari</t>
  </si>
  <si>
    <t xml:space="preserve">Works at Saiyadri </t>
  </si>
  <si>
    <t>Shravani  Amit    Kale</t>
  </si>
  <si>
    <t>No  Challan</t>
  </si>
  <si>
    <t>Divya  Dada  Kokre</t>
  </si>
  <si>
    <t>Blessing   Deepak  Tujare</t>
  </si>
  <si>
    <t>Bhandgaon</t>
  </si>
  <si>
    <t>8km</t>
  </si>
  <si>
    <t>Jiya  Ganesh  Avsari</t>
  </si>
  <si>
    <t>Tasty Bites  Company</t>
  </si>
  <si>
    <t>S</t>
  </si>
  <si>
    <t>Jaydeep Gaikwad</t>
  </si>
  <si>
    <t>One gram jewellary Shop</t>
  </si>
  <si>
    <t>Akshay Karde</t>
  </si>
  <si>
    <t>Hotel manager</t>
  </si>
  <si>
    <t>Teacher</t>
  </si>
  <si>
    <t>Harshal Jadhav</t>
  </si>
  <si>
    <t>Bormalnath</t>
  </si>
  <si>
    <t>2km</t>
  </si>
  <si>
    <t>Sight Contractor</t>
  </si>
  <si>
    <t>Aman Ansari</t>
  </si>
  <si>
    <t>Yash Lokhande</t>
  </si>
  <si>
    <t>Mark Dipak Tujare</t>
  </si>
  <si>
    <t>Barvkarvasti</t>
  </si>
  <si>
    <t>Brick Worker</t>
  </si>
  <si>
    <t>Soham Motikar</t>
  </si>
  <si>
    <t>Datta</t>
  </si>
  <si>
    <t>Ujer Firoj Pathan</t>
  </si>
  <si>
    <t>Yawat</t>
  </si>
  <si>
    <t>11km</t>
  </si>
  <si>
    <t>Sulatan Saror Shaikh</t>
  </si>
  <si>
    <t>Aaradhya Rahul Rupnagar</t>
  </si>
  <si>
    <t>Dabba service</t>
  </si>
  <si>
    <t>Isra Nadeem  Ansari</t>
  </si>
  <si>
    <t>Works at Bakery shop</t>
  </si>
  <si>
    <t>Vidya  Lavaji Kokare</t>
  </si>
  <si>
    <t>100./.</t>
  </si>
  <si>
    <t>Bhakti  Dilip  Thote</t>
  </si>
  <si>
    <t>Arpita Rahul  Suryanshi</t>
  </si>
  <si>
    <t>R  T E</t>
  </si>
  <si>
    <t xml:space="preserve">Labour </t>
  </si>
  <si>
    <t>Supporting staff at a DGA</t>
  </si>
  <si>
    <t>Srushti Dharmraj Athavale</t>
  </si>
  <si>
    <t>Alisha  Khalid  Ansari</t>
  </si>
  <si>
    <t>Sannvi  manoj  Musale</t>
  </si>
  <si>
    <t>Aaradhya  Vinayak  Shinde</t>
  </si>
  <si>
    <t>R T E</t>
  </si>
  <si>
    <t>Shubhangi  Bharat Jadhav</t>
  </si>
  <si>
    <t>Arya Gopal  dagde</t>
  </si>
  <si>
    <t>Devansh   Kiran  Jamdar</t>
  </si>
  <si>
    <t>UKG</t>
  </si>
  <si>
    <t>Worker at Sayadri</t>
  </si>
  <si>
    <t>Prithviraj  Prashanta   Dudhal</t>
  </si>
  <si>
    <t>Owns hotel (tea-snacks)</t>
  </si>
  <si>
    <t>Sarthak   Sachin    Londhe</t>
  </si>
  <si>
    <t>Ganesh  Santosh    Lokhande</t>
  </si>
  <si>
    <t>C   O  C</t>
  </si>
  <si>
    <t>Rajratna  Somnath  Thorat</t>
  </si>
  <si>
    <t>Mahi  Somnath  Dede</t>
  </si>
  <si>
    <t>Labour Work</t>
  </si>
  <si>
    <t>Home-maker</t>
  </si>
  <si>
    <t>Aaradhya   Lakshman    Magar</t>
  </si>
  <si>
    <t>Nimra Nadeem   Ansari</t>
  </si>
  <si>
    <t>Works at Bekery</t>
  </si>
  <si>
    <t xml:space="preserve">Anvi  Rahul   Rupanavar </t>
  </si>
  <si>
    <t>Hawabi  Firoz   Saiyed</t>
  </si>
  <si>
    <t>Bricks Worker</t>
  </si>
  <si>
    <t>Srinidhi    Sachin   Dolare</t>
  </si>
  <si>
    <t>Tullevasti</t>
  </si>
  <si>
    <t>500meter</t>
  </si>
  <si>
    <t>Ishanvi   Deepak   Nithnavre</t>
  </si>
  <si>
    <t>Hirkani   Sanjay   Kamble</t>
  </si>
  <si>
    <t>Deulgaongada</t>
  </si>
  <si>
    <t>5km</t>
  </si>
  <si>
    <t>Ashwini     Gopal   Dagde</t>
  </si>
  <si>
    <t>Ayaan  Masjid Tamboli</t>
  </si>
  <si>
    <t>Chicken Shop</t>
  </si>
  <si>
    <t>Shivam Deepak Lonhar</t>
  </si>
  <si>
    <t>NO</t>
  </si>
  <si>
    <t>Vegetable shop</t>
  </si>
  <si>
    <t xml:space="preserve">Shrikar Sahin Dolare  </t>
  </si>
  <si>
    <t>vakdapul</t>
  </si>
  <si>
    <t>Works at Sayadri</t>
  </si>
  <si>
    <t>Vaibhav Lavhaji Kokare</t>
  </si>
  <si>
    <t>Yusuf Firoz Shaikh</t>
  </si>
  <si>
    <t>Ankur Satyendar Gautam</t>
  </si>
  <si>
    <t>Ayaaj  Riyaz Pathan</t>
  </si>
  <si>
    <t>Arman Abdul  Shaikh</t>
  </si>
  <si>
    <t>Sangram Gopal  Dagade</t>
  </si>
  <si>
    <t>Karan Manoj Gaikwad</t>
  </si>
  <si>
    <t>Arjun Manjo Gaikwad</t>
  </si>
  <si>
    <t>Rajvee  Ashok  Tadge</t>
  </si>
  <si>
    <t>Swara  Amol  Baravkar</t>
  </si>
  <si>
    <t>General store</t>
  </si>
  <si>
    <t>Nandini  Isak Jadhav</t>
  </si>
  <si>
    <t>2843+2844</t>
  </si>
  <si>
    <t>Aarohi Malhari Hake</t>
  </si>
  <si>
    <t>Farmer at own farm</t>
  </si>
  <si>
    <t>Sonali  Somnath  Thorat</t>
  </si>
  <si>
    <t>Swaraj Gadade</t>
  </si>
  <si>
    <t>Farmer and Owns hotel</t>
  </si>
  <si>
    <t>Vansh Ughade</t>
  </si>
  <si>
    <t xml:space="preserve">Service </t>
  </si>
  <si>
    <t>Beauty Parlour</t>
  </si>
  <si>
    <t>Rajvir Dhaygude</t>
  </si>
  <si>
    <t>Hotel, Mobile shop</t>
  </si>
  <si>
    <t>Godwin Pappachan Reji</t>
  </si>
  <si>
    <t>Tyre Shop</t>
  </si>
  <si>
    <t>Punit Ingle</t>
  </si>
  <si>
    <t>Vakdapul</t>
  </si>
  <si>
    <t>Viraj Gorgal</t>
  </si>
  <si>
    <t>Kedgaon(gaav)</t>
  </si>
  <si>
    <t>Security Guard</t>
  </si>
  <si>
    <t>Sarthak Karhe</t>
  </si>
  <si>
    <t>Tractor garage</t>
  </si>
  <si>
    <t>Digamber Panhale</t>
  </si>
  <si>
    <t>Sairaj Memane</t>
  </si>
  <si>
    <t>Service (Single parent)</t>
  </si>
  <si>
    <t>Ayan Khan</t>
  </si>
  <si>
    <t>Aryan Chaurasiya</t>
  </si>
  <si>
    <t>Viraj Kshirsagar</t>
  </si>
  <si>
    <t>Adil Shaikh</t>
  </si>
  <si>
    <t>Sahil Kashid</t>
  </si>
  <si>
    <t>Prathmesh Bhosale</t>
  </si>
  <si>
    <t>Road seller</t>
  </si>
  <si>
    <t>Manasvi Sonavane</t>
  </si>
  <si>
    <t>Aliya Ansari</t>
  </si>
  <si>
    <t>Works at Bakery Shop</t>
  </si>
  <si>
    <t>Anushka Shinge</t>
  </si>
  <si>
    <t>Chef</t>
  </si>
  <si>
    <t>Swara Ghogare</t>
  </si>
  <si>
    <t>Labour</t>
  </si>
  <si>
    <t>Lochana Chaudhari</t>
  </si>
  <si>
    <t>Sanam Tamboli</t>
  </si>
  <si>
    <t>Mahira Ansari</t>
  </si>
  <si>
    <t>Kanchan Kolape</t>
  </si>
  <si>
    <t>Keskar vasti</t>
  </si>
  <si>
    <t>Works at own farm</t>
  </si>
  <si>
    <t>Pranjal Baravkar</t>
  </si>
  <si>
    <t>Aarohi Aade</t>
  </si>
  <si>
    <t>Discount</t>
  </si>
  <si>
    <t>Archana Gaikwad</t>
  </si>
  <si>
    <t>Riya Awasare</t>
  </si>
  <si>
    <t>Richa Awasare</t>
  </si>
  <si>
    <t>Aarju Sayyad</t>
  </si>
  <si>
    <t>Ayush Gaikwad</t>
  </si>
  <si>
    <t xml:space="preserve">Works at Suhana masala company </t>
  </si>
  <si>
    <t>Touheed Shaikh</t>
  </si>
  <si>
    <t>Teacher (single parents)</t>
  </si>
  <si>
    <t>Swarup Sodnwar</t>
  </si>
  <si>
    <t>Owns Shoes shop</t>
  </si>
  <si>
    <t>Owns shoes shop</t>
  </si>
  <si>
    <t>Smitaj Chavan</t>
  </si>
  <si>
    <t>Government teacher</t>
  </si>
  <si>
    <t>Asha worker</t>
  </si>
  <si>
    <t>Mit Patel</t>
  </si>
  <si>
    <t>Harware shop</t>
  </si>
  <si>
    <t>Yash Gardade</t>
  </si>
  <si>
    <t>Brick bussiness</t>
  </si>
  <si>
    <t>Parlour</t>
  </si>
  <si>
    <t>Aryan Devkule</t>
  </si>
  <si>
    <t>Abhimanyu Dudhal</t>
  </si>
  <si>
    <t>Milk shop and transport bussiness</t>
  </si>
  <si>
    <t>Vansh Badhe</t>
  </si>
  <si>
    <t>Aryan Shaikh</t>
  </si>
  <si>
    <t>Coc</t>
  </si>
  <si>
    <t>Ganesh Sable</t>
  </si>
  <si>
    <t>FREE</t>
  </si>
  <si>
    <t>Asad pathan</t>
  </si>
  <si>
    <t>Saksham hondavajkar</t>
  </si>
  <si>
    <t>Mohit Jinwal</t>
  </si>
  <si>
    <t>Dinesh Bhil</t>
  </si>
  <si>
    <t>Barvkar vasti</t>
  </si>
  <si>
    <t>Swara Shelar</t>
  </si>
  <si>
    <t>Small Bussiness</t>
  </si>
  <si>
    <t>Samruddhi Dudhal</t>
  </si>
  <si>
    <t>Tea Shop</t>
  </si>
  <si>
    <t>Tanishka Chavan</t>
  </si>
  <si>
    <t>Work in Hospital</t>
  </si>
  <si>
    <t>Aiman Ansari</t>
  </si>
  <si>
    <t>Shop</t>
  </si>
  <si>
    <t>Sarveksha Gaikwad</t>
  </si>
  <si>
    <t>Shubra Tele</t>
  </si>
  <si>
    <t>Veterinary Doctor</t>
  </si>
  <si>
    <t>Renuka Khandekar</t>
  </si>
  <si>
    <t>Shruti Jagtap</t>
  </si>
  <si>
    <t>Jyoti Jadhav</t>
  </si>
  <si>
    <t>Tanishka Bhosale</t>
  </si>
  <si>
    <t>Door celler</t>
  </si>
  <si>
    <t>Aniket Mane</t>
  </si>
  <si>
    <t>Aradhya Athavale</t>
  </si>
  <si>
    <t>Jayaskumar Bhagat</t>
  </si>
  <si>
    <t>Omraj Memane</t>
  </si>
  <si>
    <t>Works as a helper in a hospital (single mother)</t>
  </si>
  <si>
    <t>Sarthak tambe</t>
  </si>
  <si>
    <t>Dapodi</t>
  </si>
  <si>
    <t>7km</t>
  </si>
  <si>
    <t>Own farm</t>
  </si>
  <si>
    <t>Swaraj Rakshe</t>
  </si>
  <si>
    <t>Cloth iron shop</t>
  </si>
  <si>
    <t>Samarth Sable</t>
  </si>
  <si>
    <t>Asad Sayyad</t>
  </si>
  <si>
    <t xml:space="preserve">Chanrakant </t>
  </si>
  <si>
    <t>Anjali Suryawanshi</t>
  </si>
  <si>
    <t>Supporting staff at DGA</t>
  </si>
  <si>
    <t>Iqra Bakshi</t>
  </si>
  <si>
    <t>Own Vehicle</t>
  </si>
  <si>
    <t>Khushi Dolare</t>
  </si>
  <si>
    <t>Shagufa Ansari</t>
  </si>
  <si>
    <t>Works at bekery Shop</t>
  </si>
  <si>
    <t>Pragati Raut</t>
  </si>
  <si>
    <t xml:space="preserve">22phata </t>
  </si>
  <si>
    <t xml:space="preserve">Business </t>
  </si>
  <si>
    <t>Vaishali Kokare</t>
  </si>
  <si>
    <t>Sushikha Honvadjkar</t>
  </si>
  <si>
    <t>Neel Ubale</t>
  </si>
  <si>
    <t>Railways servant</t>
  </si>
  <si>
    <t>Rehan Khan</t>
  </si>
  <si>
    <t>Cement materials shop</t>
  </si>
  <si>
    <t>Soham Ghogare</t>
  </si>
  <si>
    <t>Labour and driver</t>
  </si>
  <si>
    <t>Shreyash Gadhade</t>
  </si>
  <si>
    <t>Farmering and hotel</t>
  </si>
  <si>
    <t>Gurnoor Singh</t>
  </si>
  <si>
    <t>Durgesh Salve</t>
  </si>
  <si>
    <t>Shubham Kamble</t>
  </si>
  <si>
    <t>Pratyush Hibare</t>
  </si>
  <si>
    <t>kasurdi</t>
  </si>
  <si>
    <t>Yash Khirsagar</t>
  </si>
  <si>
    <t>Shreya Avchat</t>
  </si>
  <si>
    <t>Prist and general store</t>
  </si>
  <si>
    <t>Asha Worker</t>
  </si>
  <si>
    <t>Shrushti Gardade</t>
  </si>
  <si>
    <t>Bricks business</t>
  </si>
  <si>
    <t>Samruddhi Karhe</t>
  </si>
  <si>
    <t>Owns garage</t>
  </si>
  <si>
    <t>Praniti Dhudhal</t>
  </si>
  <si>
    <t xml:space="preserve">Tea Shop </t>
  </si>
  <si>
    <t>Ananya Jadhav</t>
  </si>
  <si>
    <t>Sushma Dagade</t>
  </si>
  <si>
    <t>Tule Vasti</t>
  </si>
  <si>
    <t>0.5km</t>
  </si>
  <si>
    <t>Tanmay Tele</t>
  </si>
  <si>
    <t>Piyush Mane</t>
  </si>
  <si>
    <t>15km</t>
  </si>
  <si>
    <t>Zaid Ansari</t>
  </si>
  <si>
    <t>Imran Shaikh</t>
  </si>
  <si>
    <t>Owns small hootel</t>
  </si>
  <si>
    <t>Omkar kokare</t>
  </si>
  <si>
    <t>Elvish John</t>
  </si>
  <si>
    <t>Dhondiram Suryawanshi</t>
  </si>
  <si>
    <t>Darshan Lakade</t>
  </si>
  <si>
    <t>Shreya Gaikwad</t>
  </si>
  <si>
    <t>Manjiri Kamble</t>
  </si>
  <si>
    <t>Works at hospital</t>
  </si>
  <si>
    <t>Umera Ansari</t>
  </si>
  <si>
    <t>Road Shop</t>
  </si>
  <si>
    <t>Vaishnavi Gardade</t>
  </si>
  <si>
    <t>Arti Suryavanshi</t>
  </si>
  <si>
    <t>Dhruti Patel</t>
  </si>
  <si>
    <t>Hardware Shop</t>
  </si>
  <si>
    <t>Trushna Ubale</t>
  </si>
  <si>
    <t>Railway Employee</t>
  </si>
  <si>
    <t>Tanaya Dhaygude</t>
  </si>
  <si>
    <t>Malvadi</t>
  </si>
  <si>
    <t>Hotel and mobile shop</t>
  </si>
  <si>
    <t>Shirisha Bhandalkar</t>
  </si>
  <si>
    <t>Works at wages (single parents)</t>
  </si>
  <si>
    <t xml:space="preserve">Free </t>
  </si>
  <si>
    <t>Remaining fee</t>
  </si>
  <si>
    <t xml:space="preserve"> Yash Pisse</t>
  </si>
  <si>
    <t xml:space="preserve">Saksham </t>
  </si>
  <si>
    <t xml:space="preserve">Sushiksha </t>
  </si>
  <si>
    <t xml:space="preserve">Contact Details </t>
  </si>
  <si>
    <t>Ganesh Vinod Bhil</t>
  </si>
  <si>
    <t>Mansi  Somnath Thorat</t>
  </si>
  <si>
    <t>Pavan Pisse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</si>
</sst>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[Red]#,##0"/>
    <numFmt numFmtId="165" formatCode="&quot;₹&quot;\ #,##0;[Red]&quot;₹&quot;\ #,##0"/>
    <numFmt numFmtId="166" formatCode="&quot;₹&quot;\ #,##0"/>
  </numFmts>
  <fonts count="14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vertical="top"/>
    </xf>
    <xf numFmtId="0" fontId="0" fillId="2" borderId="0" xfId="0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2" fillId="0" borderId="3" xfId="0" applyFont="1" applyBorder="1" applyAlignment="1">
      <alignment horizontal="center"/>
    </xf>
    <xf numFmtId="0" fontId="6" fillId="0" borderId="0" xfId="0" applyFont="1"/>
    <xf numFmtId="3" fontId="7" fillId="0" borderId="0" xfId="0" applyNumberFormat="1" applyFont="1"/>
    <xf numFmtId="164" fontId="1" fillId="0" borderId="0" xfId="0" applyNumberFormat="1" applyFont="1"/>
    <xf numFmtId="3" fontId="1" fillId="0" borderId="0" xfId="0" applyNumberFormat="1" applyFont="1"/>
    <xf numFmtId="9" fontId="0" fillId="0" borderId="0" xfId="0" applyNumberFormat="1" applyAlignment="1">
      <alignment horizontal="center"/>
    </xf>
    <xf numFmtId="3" fontId="1" fillId="0" borderId="0" xfId="0" applyNumberFormat="1" applyFont="1" applyAlignment="1">
      <alignment horizontal="center"/>
    </xf>
    <xf numFmtId="3" fontId="6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9" fontId="3" fillId="0" borderId="0" xfId="0" applyNumberFormat="1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 readingOrder="1"/>
    </xf>
    <xf numFmtId="9" fontId="3" fillId="0" borderId="0" xfId="0" applyNumberFormat="1" applyFont="1" applyAlignment="1">
      <alignment horizontal="center"/>
    </xf>
    <xf numFmtId="0" fontId="3" fillId="0" borderId="0" xfId="0" applyFont="1" applyAlignment="1">
      <alignment wrapText="1" readingOrder="1"/>
    </xf>
    <xf numFmtId="0" fontId="3" fillId="0" borderId="2" xfId="0" applyFont="1" applyBorder="1" applyAlignment="1">
      <alignment horizontal="left" vertical="top" wrapText="1" readingOrder="1"/>
    </xf>
    <xf numFmtId="0" fontId="3" fillId="2" borderId="0" xfId="0" applyFont="1" applyFill="1"/>
    <xf numFmtId="0" fontId="7" fillId="0" borderId="0" xfId="0" applyFont="1" applyAlignment="1">
      <alignment horizontal="center"/>
    </xf>
    <xf numFmtId="14" fontId="3" fillId="0" borderId="0" xfId="0" applyNumberFormat="1" applyFont="1"/>
    <xf numFmtId="165" fontId="7" fillId="0" borderId="0" xfId="0" applyNumberFormat="1" applyFont="1"/>
    <xf numFmtId="165" fontId="3" fillId="0" borderId="0" xfId="0" applyNumberFormat="1" applyFont="1"/>
    <xf numFmtId="164" fontId="7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top" wrapText="1" readingOrder="1"/>
    </xf>
    <xf numFmtId="0" fontId="3" fillId="0" borderId="0" xfId="0" applyFont="1" applyAlignment="1">
      <alignment horizontal="right" vertical="top" wrapText="1" readingOrder="1"/>
    </xf>
    <xf numFmtId="0" fontId="3" fillId="2" borderId="0" xfId="0" applyFont="1" applyFill="1" applyAlignment="1">
      <alignment horizontal="right" vertical="top" wrapText="1" readingOrder="1"/>
    </xf>
    <xf numFmtId="0" fontId="3" fillId="2" borderId="0" xfId="0" applyFont="1" applyFill="1" applyAlignment="1">
      <alignment vertical="top" wrapText="1" readingOrder="1"/>
    </xf>
    <xf numFmtId="0" fontId="3" fillId="0" borderId="0" xfId="0" applyFont="1" applyAlignment="1">
      <alignment horizontal="right" wrapText="1" readingOrder="1"/>
    </xf>
    <xf numFmtId="0" fontId="8" fillId="0" borderId="1" xfId="0" applyFont="1" applyBorder="1" applyAlignment="1">
      <alignment horizontal="center"/>
    </xf>
    <xf numFmtId="0" fontId="9" fillId="0" borderId="0" xfId="0" applyFont="1" applyAlignment="1">
      <alignment vertical="top"/>
    </xf>
    <xf numFmtId="0" fontId="9" fillId="0" borderId="0" xfId="0" applyFont="1" applyAlignment="1">
      <alignment vertical="top" wrapText="1" readingOrder="1"/>
    </xf>
    <xf numFmtId="9" fontId="9" fillId="0" borderId="0" xfId="0" applyNumberFormat="1" applyFont="1" applyAlignment="1">
      <alignment vertical="top"/>
    </xf>
    <xf numFmtId="0" fontId="9" fillId="0" borderId="0" xfId="0" applyFont="1" applyAlignment="1">
      <alignment horizontal="center" vertical="center"/>
    </xf>
    <xf numFmtId="3" fontId="10" fillId="0" borderId="0" xfId="0" applyNumberFormat="1" applyFont="1" applyAlignment="1">
      <alignment vertical="top"/>
    </xf>
    <xf numFmtId="164" fontId="10" fillId="0" borderId="0" xfId="0" applyNumberFormat="1" applyFont="1" applyAlignment="1">
      <alignment vertical="top"/>
    </xf>
    <xf numFmtId="0" fontId="10" fillId="0" borderId="0" xfId="0" applyFont="1" applyAlignment="1">
      <alignment vertical="top"/>
    </xf>
    <xf numFmtId="3" fontId="7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2" fillId="0" borderId="0" xfId="0" applyFont="1" applyAlignment="1">
      <alignment wrapText="1" readingOrder="1"/>
    </xf>
    <xf numFmtId="0" fontId="2" fillId="0" borderId="3" xfId="0" applyFont="1" applyBorder="1"/>
    <xf numFmtId="9" fontId="2" fillId="0" borderId="0" xfId="0" applyNumberFormat="1" applyFont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0" borderId="4" xfId="0" applyFont="1" applyBorder="1" applyAlignment="1">
      <alignment horizontal="center"/>
    </xf>
    <xf numFmtId="166" fontId="12" fillId="0" borderId="0" xfId="0" applyNumberFormat="1" applyFont="1"/>
    <xf numFmtId="164" fontId="1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P14"/>
  <sheetViews>
    <sheetView workbookViewId="0">
      <selection activeCell="I18" sqref="I18"/>
    </sheetView>
  </sheetViews>
  <sheetFormatPr defaultColWidth="9" defaultRowHeight="15.6"/>
  <cols>
    <col min="1" max="1" width="9" style="6"/>
    <col min="2" max="2" width="37.88671875" style="6" customWidth="1"/>
    <col min="3" max="3" width="22.109375" style="6" customWidth="1"/>
    <col min="4" max="4" width="7.109375" style="6" bestFit="1" customWidth="1"/>
    <col min="5" max="5" width="10.77734375" style="6" customWidth="1"/>
    <col min="6" max="6" width="8.5546875" style="6" bestFit="1" customWidth="1"/>
    <col min="7" max="7" width="12.33203125" style="6" bestFit="1" customWidth="1"/>
    <col min="8" max="8" width="20" style="6" bestFit="1" customWidth="1"/>
    <col min="9" max="9" width="13.21875" style="6" bestFit="1" customWidth="1"/>
    <col min="10" max="10" width="10.6640625" style="6" bestFit="1" customWidth="1"/>
    <col min="11" max="11" width="4.88671875" style="6" bestFit="1" customWidth="1"/>
    <col min="12" max="12" width="16.33203125" style="6" bestFit="1" customWidth="1"/>
    <col min="13" max="13" width="11.5546875" style="6" bestFit="1" customWidth="1"/>
    <col min="14" max="14" width="8.109375" style="6" bestFit="1" customWidth="1"/>
    <col min="15" max="15" width="16.5546875" style="6" bestFit="1" customWidth="1"/>
    <col min="16" max="16" width="17.44140625" style="6" bestFit="1" customWidth="1"/>
    <col min="17" max="16384" width="9" style="6"/>
  </cols>
  <sheetData>
    <row r="1" spans="1:16">
      <c r="A1" s="18"/>
      <c r="B1" s="18"/>
      <c r="C1" s="18"/>
      <c r="D1" s="18"/>
      <c r="E1" s="18"/>
      <c r="F1" s="18"/>
      <c r="G1" s="18"/>
      <c r="H1" s="18" t="s">
        <v>0</v>
      </c>
      <c r="I1" s="18"/>
      <c r="J1" s="18"/>
      <c r="K1" s="18"/>
      <c r="L1" s="18"/>
      <c r="M1" s="18"/>
    </row>
    <row r="2" spans="1:16">
      <c r="A2" s="18" t="s">
        <v>1</v>
      </c>
      <c r="B2" s="18" t="s">
        <v>2</v>
      </c>
      <c r="C2" s="18" t="s">
        <v>363</v>
      </c>
      <c r="D2" s="18" t="s">
        <v>3</v>
      </c>
      <c r="E2" s="18" t="s">
        <v>4</v>
      </c>
      <c r="F2" s="18" t="s">
        <v>5</v>
      </c>
      <c r="G2" s="18" t="s">
        <v>6</v>
      </c>
      <c r="H2" s="18" t="s">
        <v>7</v>
      </c>
      <c r="I2" s="18" t="s">
        <v>8</v>
      </c>
      <c r="J2" s="18" t="s">
        <v>9</v>
      </c>
      <c r="K2" s="18" t="s">
        <v>10</v>
      </c>
      <c r="L2" s="18" t="s">
        <v>11</v>
      </c>
      <c r="M2" s="18" t="s">
        <v>12</v>
      </c>
      <c r="N2" s="18" t="s">
        <v>13</v>
      </c>
      <c r="O2" s="19" t="s">
        <v>14</v>
      </c>
      <c r="P2" s="19" t="s">
        <v>15</v>
      </c>
    </row>
    <row r="3" spans="1:16">
      <c r="A3" s="6">
        <v>1</v>
      </c>
      <c r="B3" s="6" t="s">
        <v>16</v>
      </c>
      <c r="C3" s="6">
        <v>9561305558</v>
      </c>
      <c r="D3" s="6" t="s">
        <v>17</v>
      </c>
      <c r="E3" s="6" t="s">
        <v>18</v>
      </c>
      <c r="F3" s="6">
        <v>16200</v>
      </c>
      <c r="H3" s="6">
        <v>5000</v>
      </c>
      <c r="I3" s="6">
        <f>F3-H3</f>
        <v>11200</v>
      </c>
      <c r="M3" s="6" t="s">
        <v>19</v>
      </c>
      <c r="N3" s="6" t="s">
        <v>20</v>
      </c>
    </row>
    <row r="4" spans="1:16">
      <c r="A4" s="6">
        <v>2</v>
      </c>
      <c r="B4" s="6" t="s">
        <v>21</v>
      </c>
      <c r="C4" s="6">
        <v>8830578600</v>
      </c>
      <c r="D4" s="6" t="s">
        <v>17</v>
      </c>
      <c r="E4" s="6" t="s">
        <v>18</v>
      </c>
      <c r="F4" s="6">
        <v>0</v>
      </c>
      <c r="G4" s="6" t="s">
        <v>22</v>
      </c>
      <c r="H4" s="6">
        <v>0</v>
      </c>
      <c r="I4" s="6">
        <f>F4-H4</f>
        <v>0</v>
      </c>
      <c r="M4" s="6" t="s">
        <v>23</v>
      </c>
      <c r="N4" s="6" t="s">
        <v>24</v>
      </c>
      <c r="O4" s="6" t="s">
        <v>25</v>
      </c>
      <c r="P4" s="6" t="s">
        <v>26</v>
      </c>
    </row>
    <row r="5" spans="1:16" s="27" customFormat="1">
      <c r="A5" s="27">
        <v>3</v>
      </c>
      <c r="B5" s="27" t="s">
        <v>27</v>
      </c>
      <c r="C5" s="27">
        <v>9307141201</v>
      </c>
      <c r="D5" s="27" t="s">
        <v>17</v>
      </c>
      <c r="E5" s="27" t="s">
        <v>18</v>
      </c>
      <c r="F5" s="27">
        <v>16200</v>
      </c>
      <c r="G5" s="27">
        <v>200</v>
      </c>
      <c r="H5" s="27">
        <v>16200</v>
      </c>
      <c r="I5" s="27">
        <v>0</v>
      </c>
      <c r="M5" s="27" t="s">
        <v>28</v>
      </c>
      <c r="N5" s="27" t="s">
        <v>24</v>
      </c>
    </row>
    <row r="6" spans="1:16">
      <c r="A6" s="6">
        <v>4</v>
      </c>
      <c r="B6" s="6" t="s">
        <v>360</v>
      </c>
      <c r="C6" s="6">
        <v>9022585878</v>
      </c>
      <c r="D6" s="6" t="s">
        <v>17</v>
      </c>
      <c r="E6" s="6" t="s">
        <v>18</v>
      </c>
      <c r="F6" s="6">
        <f>16200/2</f>
        <v>8100</v>
      </c>
      <c r="H6" s="6">
        <v>2000</v>
      </c>
      <c r="I6" s="6">
        <f>F6-H6</f>
        <v>6100</v>
      </c>
    </row>
    <row r="7" spans="1:16">
      <c r="A7" s="6">
        <v>5</v>
      </c>
      <c r="B7" s="6" t="s">
        <v>29</v>
      </c>
      <c r="C7" s="6">
        <v>7972024744</v>
      </c>
      <c r="D7" s="6" t="s">
        <v>30</v>
      </c>
      <c r="E7" s="6" t="s">
        <v>18</v>
      </c>
      <c r="F7" s="6">
        <v>6000</v>
      </c>
      <c r="G7" s="20">
        <v>0.5</v>
      </c>
      <c r="H7" s="6">
        <v>6000</v>
      </c>
      <c r="I7" s="6">
        <f>F7-H7</f>
        <v>0</v>
      </c>
      <c r="M7" s="6" t="s">
        <v>31</v>
      </c>
      <c r="N7" s="6" t="s">
        <v>32</v>
      </c>
      <c r="O7" s="6" t="s">
        <v>33</v>
      </c>
      <c r="P7" s="6" t="s">
        <v>26</v>
      </c>
    </row>
    <row r="8" spans="1:16">
      <c r="A8" s="6">
        <v>6</v>
      </c>
      <c r="B8" s="6" t="s">
        <v>34</v>
      </c>
      <c r="C8" s="6">
        <v>7397973646</v>
      </c>
      <c r="D8" s="6" t="s">
        <v>30</v>
      </c>
      <c r="E8" s="6" t="s">
        <v>18</v>
      </c>
      <c r="F8" s="6">
        <v>2500</v>
      </c>
      <c r="H8" s="6">
        <v>0</v>
      </c>
      <c r="I8" s="6">
        <f>F8-H8</f>
        <v>2500</v>
      </c>
      <c r="M8" s="6" t="s">
        <v>35</v>
      </c>
      <c r="N8" s="6" t="s">
        <v>36</v>
      </c>
    </row>
    <row r="9" spans="1:16">
      <c r="A9" s="6">
        <v>7</v>
      </c>
      <c r="B9" s="6" t="s">
        <v>37</v>
      </c>
      <c r="D9" s="6" t="s">
        <v>30</v>
      </c>
      <c r="E9" s="6" t="s">
        <v>18</v>
      </c>
      <c r="I9" s="12"/>
    </row>
    <row r="10" spans="1:16">
      <c r="F10" s="12">
        <f>SUM(F3:F9)</f>
        <v>49000</v>
      </c>
      <c r="G10" s="12"/>
      <c r="H10" s="12">
        <f t="shared" ref="H10:I10" si="0">SUM(H3:H9)</f>
        <v>29200</v>
      </c>
      <c r="I10" s="12">
        <f t="shared" si="0"/>
        <v>19800</v>
      </c>
    </row>
    <row r="14" spans="1:16">
      <c r="G14" s="18">
        <f>H10/F10*100</f>
        <v>59.591836734693885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Q16"/>
  <sheetViews>
    <sheetView tabSelected="1" workbookViewId="0">
      <selection activeCell="H21" sqref="H21"/>
    </sheetView>
  </sheetViews>
  <sheetFormatPr defaultColWidth="9" defaultRowHeight="14.4"/>
  <cols>
    <col min="1" max="1" width="5.33203125" customWidth="1"/>
    <col min="2" max="2" width="31" customWidth="1"/>
    <col min="3" max="3" width="23.109375" customWidth="1"/>
    <col min="4" max="4" width="12.33203125" customWidth="1"/>
    <col min="5" max="5" width="10.21875" customWidth="1"/>
    <col min="6" max="6" width="10.109375" customWidth="1"/>
    <col min="7" max="7" width="15.21875" customWidth="1"/>
    <col min="8" max="8" width="15.44140625" customWidth="1"/>
    <col min="9" max="9" width="15.109375" customWidth="1"/>
    <col min="10" max="10" width="12.21875" customWidth="1"/>
    <col min="12" max="12" width="21.77734375" customWidth="1"/>
    <col min="13" max="13" width="11.77734375" customWidth="1"/>
    <col min="15" max="15" width="18" customWidth="1"/>
    <col min="16" max="16" width="18.88671875" customWidth="1"/>
  </cols>
  <sheetData>
    <row r="1" spans="1:17">
      <c r="G1" s="1" t="s">
        <v>0</v>
      </c>
      <c r="H1" s="1"/>
    </row>
    <row r="2" spans="1:17">
      <c r="A2" s="1" t="s">
        <v>1</v>
      </c>
      <c r="B2" s="1" t="s">
        <v>2</v>
      </c>
      <c r="C2" s="1" t="s">
        <v>363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8" t="s">
        <v>14</v>
      </c>
      <c r="P2" s="8" t="s">
        <v>15</v>
      </c>
      <c r="Q2" s="7"/>
    </row>
    <row r="3" spans="1:17">
      <c r="G3" s="2"/>
    </row>
    <row r="4" spans="1:17">
      <c r="A4">
        <v>1</v>
      </c>
      <c r="B4" t="s">
        <v>38</v>
      </c>
      <c r="C4">
        <v>7756066306</v>
      </c>
      <c r="D4" t="s">
        <v>30</v>
      </c>
      <c r="E4" t="s">
        <v>39</v>
      </c>
      <c r="F4">
        <v>3050</v>
      </c>
      <c r="G4" s="15">
        <v>0.75</v>
      </c>
      <c r="H4" s="2">
        <v>3050</v>
      </c>
      <c r="I4" s="2">
        <f>F4-H4</f>
        <v>0</v>
      </c>
      <c r="M4" t="s">
        <v>40</v>
      </c>
      <c r="N4" t="s">
        <v>32</v>
      </c>
      <c r="O4" t="s">
        <v>33</v>
      </c>
      <c r="P4" t="s">
        <v>26</v>
      </c>
    </row>
    <row r="5" spans="1:17">
      <c r="A5">
        <v>2</v>
      </c>
      <c r="B5" t="s">
        <v>41</v>
      </c>
      <c r="C5">
        <v>8766899233</v>
      </c>
      <c r="D5" t="s">
        <v>30</v>
      </c>
      <c r="E5" t="s">
        <v>39</v>
      </c>
      <c r="F5">
        <v>9150</v>
      </c>
      <c r="G5" s="15">
        <v>0.25</v>
      </c>
      <c r="H5" s="2">
        <v>9150</v>
      </c>
      <c r="I5" s="2">
        <f t="shared" ref="I5:I11" si="0">F5-H5</f>
        <v>0</v>
      </c>
      <c r="M5" t="s">
        <v>28</v>
      </c>
      <c r="N5" t="s">
        <v>24</v>
      </c>
      <c r="O5" s="10" t="s">
        <v>42</v>
      </c>
      <c r="P5" s="10" t="s">
        <v>43</v>
      </c>
      <c r="Q5" s="5"/>
    </row>
    <row r="6" spans="1:17">
      <c r="A6">
        <v>3</v>
      </c>
      <c r="B6" t="s">
        <v>44</v>
      </c>
      <c r="C6">
        <v>8692918582</v>
      </c>
      <c r="D6" t="s">
        <v>30</v>
      </c>
      <c r="E6" t="s">
        <v>39</v>
      </c>
      <c r="F6">
        <v>12200</v>
      </c>
      <c r="G6" s="2"/>
      <c r="H6" s="2">
        <v>9000</v>
      </c>
      <c r="I6" s="2">
        <f t="shared" si="0"/>
        <v>3200</v>
      </c>
      <c r="M6" t="s">
        <v>45</v>
      </c>
      <c r="N6" t="s">
        <v>46</v>
      </c>
      <c r="O6" t="s">
        <v>33</v>
      </c>
      <c r="P6" t="s">
        <v>26</v>
      </c>
    </row>
    <row r="7" spans="1:17">
      <c r="A7">
        <v>4</v>
      </c>
      <c r="B7" t="s">
        <v>47</v>
      </c>
      <c r="C7">
        <v>7040765469</v>
      </c>
      <c r="D7" t="s">
        <v>30</v>
      </c>
      <c r="E7" t="s">
        <v>39</v>
      </c>
      <c r="F7">
        <v>12200</v>
      </c>
      <c r="G7" s="2"/>
      <c r="H7" s="2">
        <v>4067</v>
      </c>
      <c r="I7" s="2">
        <f t="shared" si="0"/>
        <v>8133</v>
      </c>
      <c r="M7" t="s">
        <v>48</v>
      </c>
      <c r="N7" t="s">
        <v>49</v>
      </c>
      <c r="O7" t="s">
        <v>25</v>
      </c>
      <c r="P7" t="s">
        <v>26</v>
      </c>
    </row>
    <row r="8" spans="1:17">
      <c r="A8">
        <v>5</v>
      </c>
      <c r="B8" t="s">
        <v>50</v>
      </c>
      <c r="C8">
        <v>8799964616</v>
      </c>
      <c r="D8" t="s">
        <v>30</v>
      </c>
      <c r="E8" t="s">
        <v>39</v>
      </c>
      <c r="F8">
        <v>0</v>
      </c>
      <c r="G8" s="2" t="s">
        <v>22</v>
      </c>
      <c r="H8" s="2">
        <v>0</v>
      </c>
      <c r="I8" s="2">
        <f t="shared" si="0"/>
        <v>0</v>
      </c>
      <c r="M8" t="s">
        <v>52</v>
      </c>
      <c r="N8" t="s">
        <v>20</v>
      </c>
      <c r="O8" t="s">
        <v>25</v>
      </c>
      <c r="P8" t="s">
        <v>26</v>
      </c>
    </row>
    <row r="9" spans="1:17">
      <c r="A9">
        <v>6</v>
      </c>
      <c r="B9" t="s">
        <v>53</v>
      </c>
      <c r="C9">
        <v>9604649125</v>
      </c>
      <c r="D9" t="s">
        <v>30</v>
      </c>
      <c r="E9" t="s">
        <v>39</v>
      </c>
      <c r="F9">
        <v>12200</v>
      </c>
      <c r="G9" s="2"/>
      <c r="H9" s="2">
        <v>12200</v>
      </c>
      <c r="I9" s="2">
        <f t="shared" si="0"/>
        <v>0</v>
      </c>
      <c r="M9" t="s">
        <v>54</v>
      </c>
      <c r="N9" t="s">
        <v>24</v>
      </c>
      <c r="O9" t="s">
        <v>55</v>
      </c>
      <c r="P9" t="s">
        <v>26</v>
      </c>
    </row>
    <row r="10" spans="1:17" s="4" customFormat="1">
      <c r="A10" s="4">
        <v>7</v>
      </c>
      <c r="B10" s="4" t="s">
        <v>56</v>
      </c>
      <c r="D10" s="4" t="s">
        <v>30</v>
      </c>
      <c r="E10" s="4" t="s">
        <v>39</v>
      </c>
      <c r="F10" s="4">
        <v>12200</v>
      </c>
      <c r="G10" s="9">
        <v>200</v>
      </c>
      <c r="H10" s="9">
        <v>12200</v>
      </c>
      <c r="I10" s="9">
        <v>0</v>
      </c>
      <c r="M10" s="4" t="s">
        <v>28</v>
      </c>
      <c r="N10" s="4" t="s">
        <v>24</v>
      </c>
      <c r="P10" s="4" t="s">
        <v>26</v>
      </c>
    </row>
    <row r="11" spans="1:17">
      <c r="A11">
        <v>8</v>
      </c>
      <c r="B11" t="s">
        <v>57</v>
      </c>
      <c r="C11">
        <v>8830152900</v>
      </c>
      <c r="D11" t="s">
        <v>30</v>
      </c>
      <c r="E11" t="s">
        <v>39</v>
      </c>
      <c r="F11">
        <v>12200</v>
      </c>
      <c r="G11" s="2">
        <v>0</v>
      </c>
      <c r="H11" s="2">
        <v>0</v>
      </c>
      <c r="I11" s="2">
        <f t="shared" si="0"/>
        <v>12200</v>
      </c>
      <c r="M11" t="s">
        <v>52</v>
      </c>
      <c r="N11" t="s">
        <v>20</v>
      </c>
      <c r="O11" t="s">
        <v>58</v>
      </c>
      <c r="P11" t="s">
        <v>26</v>
      </c>
    </row>
    <row r="12" spans="1:17">
      <c r="F12" s="14">
        <f>SUM(F4:F11)</f>
        <v>73200</v>
      </c>
      <c r="G12" s="16"/>
      <c r="H12" s="16">
        <f t="shared" ref="H12" si="1">SUM(H4:H11)</f>
        <v>49667</v>
      </c>
      <c r="I12" s="17">
        <f>SUM(I4:I11)</f>
        <v>23533</v>
      </c>
    </row>
    <row r="13" spans="1:17">
      <c r="G13" s="2"/>
    </row>
    <row r="14" spans="1:17">
      <c r="G14" s="2"/>
    </row>
    <row r="16" spans="1:17">
      <c r="H16" s="1">
        <f>H12/F12*100</f>
        <v>67.851092896174862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P28"/>
  <sheetViews>
    <sheetView workbookViewId="0">
      <selection activeCell="I16" sqref="I16"/>
    </sheetView>
  </sheetViews>
  <sheetFormatPr defaultColWidth="9" defaultRowHeight="15.6"/>
  <cols>
    <col min="1" max="1" width="9" style="6"/>
    <col min="2" max="2" width="29.88671875" style="6" customWidth="1"/>
    <col min="3" max="3" width="19.88671875" style="6" customWidth="1"/>
    <col min="4" max="4" width="10.5546875" style="6" customWidth="1"/>
    <col min="5" max="5" width="13.33203125" style="6" customWidth="1"/>
    <col min="6" max="6" width="13.77734375" style="6" customWidth="1"/>
    <col min="7" max="7" width="12" style="6" customWidth="1"/>
    <col min="8" max="8" width="18.44140625" style="6" customWidth="1"/>
    <col min="9" max="9" width="15.5546875" style="6" customWidth="1"/>
    <col min="10" max="10" width="10.33203125" style="6" customWidth="1"/>
    <col min="11" max="11" width="6.5546875" style="6" customWidth="1"/>
    <col min="12" max="12" width="9" style="6"/>
    <col min="13" max="13" width="12.88671875" style="6" customWidth="1"/>
    <col min="14" max="14" width="9" style="6"/>
    <col min="15" max="15" width="20" style="6" customWidth="1"/>
    <col min="16" max="16" width="16.33203125" style="6" customWidth="1"/>
    <col min="17" max="16384" width="9" style="6"/>
  </cols>
  <sheetData>
    <row r="1" spans="1:16">
      <c r="A1" s="18"/>
      <c r="B1" s="18"/>
      <c r="C1" s="18"/>
      <c r="D1" s="18"/>
      <c r="E1" s="18" t="s">
        <v>0</v>
      </c>
      <c r="F1" s="18"/>
      <c r="H1" s="18"/>
      <c r="I1" s="18"/>
      <c r="J1" s="18"/>
      <c r="K1" s="18"/>
    </row>
    <row r="2" spans="1:16">
      <c r="A2" s="18" t="s">
        <v>1</v>
      </c>
      <c r="B2" s="18" t="s">
        <v>2</v>
      </c>
      <c r="C2" s="18" t="s">
        <v>363</v>
      </c>
      <c r="D2" s="18" t="s">
        <v>3</v>
      </c>
      <c r="E2" s="18" t="s">
        <v>4</v>
      </c>
      <c r="F2" s="18" t="s">
        <v>5</v>
      </c>
      <c r="G2" s="18" t="s">
        <v>6</v>
      </c>
      <c r="H2" s="18" t="s">
        <v>7</v>
      </c>
      <c r="I2" s="18" t="s">
        <v>8</v>
      </c>
      <c r="J2" s="18" t="s">
        <v>9</v>
      </c>
      <c r="K2" s="18" t="s">
        <v>10</v>
      </c>
      <c r="L2" s="18" t="s">
        <v>11</v>
      </c>
      <c r="M2" s="18" t="s">
        <v>12</v>
      </c>
      <c r="N2" s="18" t="s">
        <v>13</v>
      </c>
      <c r="O2" s="19" t="s">
        <v>14</v>
      </c>
      <c r="P2" s="19" t="s">
        <v>15</v>
      </c>
    </row>
    <row r="3" spans="1:16">
      <c r="A3" s="6">
        <v>1</v>
      </c>
      <c r="B3" s="6" t="s">
        <v>139</v>
      </c>
      <c r="C3" s="21">
        <v>7756066306</v>
      </c>
      <c r="D3" s="6" t="s">
        <v>17</v>
      </c>
      <c r="E3" s="6" t="s">
        <v>140</v>
      </c>
      <c r="F3" s="6">
        <v>8100</v>
      </c>
      <c r="G3" s="20">
        <v>0.5</v>
      </c>
      <c r="H3" s="6">
        <v>8100</v>
      </c>
      <c r="I3" s="6">
        <f>F3-H3</f>
        <v>0</v>
      </c>
      <c r="M3" s="6" t="s">
        <v>40</v>
      </c>
      <c r="N3" s="6" t="s">
        <v>32</v>
      </c>
      <c r="O3" s="21" t="s">
        <v>141</v>
      </c>
      <c r="P3" s="21"/>
    </row>
    <row r="4" spans="1:16">
      <c r="A4" s="6">
        <v>2</v>
      </c>
      <c r="B4" s="6" t="s">
        <v>142</v>
      </c>
      <c r="C4" s="21">
        <v>9730253332</v>
      </c>
      <c r="D4" s="6" t="s">
        <v>17</v>
      </c>
      <c r="E4" s="6" t="s">
        <v>140</v>
      </c>
      <c r="F4" s="6">
        <v>16200</v>
      </c>
      <c r="G4" s="20"/>
      <c r="H4" s="6">
        <v>0</v>
      </c>
      <c r="I4" s="6">
        <f t="shared" ref="I4:I15" si="0">F4-H4</f>
        <v>16200</v>
      </c>
      <c r="M4" s="6" t="s">
        <v>23</v>
      </c>
      <c r="N4" s="6" t="s">
        <v>24</v>
      </c>
      <c r="O4" s="21" t="s">
        <v>143</v>
      </c>
      <c r="P4" s="21"/>
    </row>
    <row r="5" spans="1:16">
      <c r="A5" s="6">
        <v>3</v>
      </c>
      <c r="B5" s="6" t="s">
        <v>144</v>
      </c>
      <c r="C5" s="21">
        <v>8261843501</v>
      </c>
      <c r="D5" s="6" t="s">
        <v>17</v>
      </c>
      <c r="F5" s="6">
        <v>16200</v>
      </c>
      <c r="H5" s="6">
        <v>5400</v>
      </c>
      <c r="I5" s="6">
        <f t="shared" si="0"/>
        <v>10800</v>
      </c>
      <c r="M5" s="6" t="s">
        <v>19</v>
      </c>
      <c r="N5" s="6" t="s">
        <v>20</v>
      </c>
    </row>
    <row r="6" spans="1:16">
      <c r="A6" s="6">
        <v>4</v>
      </c>
      <c r="B6" s="6" t="s">
        <v>145</v>
      </c>
      <c r="C6" s="21"/>
      <c r="D6" s="6" t="s">
        <v>17</v>
      </c>
      <c r="E6" s="6" t="s">
        <v>140</v>
      </c>
      <c r="F6" s="6">
        <v>16200</v>
      </c>
      <c r="G6" s="6" t="s">
        <v>146</v>
      </c>
      <c r="H6" s="6">
        <v>16200</v>
      </c>
      <c r="I6" s="6">
        <v>0</v>
      </c>
      <c r="M6" s="6" t="s">
        <v>79</v>
      </c>
      <c r="N6" s="6" t="s">
        <v>80</v>
      </c>
    </row>
    <row r="7" spans="1:16">
      <c r="A7" s="6">
        <v>5</v>
      </c>
      <c r="B7" s="6" t="s">
        <v>147</v>
      </c>
      <c r="C7" s="21"/>
      <c r="D7" s="6" t="s">
        <v>17</v>
      </c>
      <c r="E7" s="6" t="s">
        <v>140</v>
      </c>
      <c r="F7" s="6">
        <v>0</v>
      </c>
      <c r="G7" s="6" t="s">
        <v>22</v>
      </c>
      <c r="H7" s="6">
        <v>0</v>
      </c>
      <c r="I7" s="6">
        <v>0</v>
      </c>
      <c r="M7" s="6" t="s">
        <v>23</v>
      </c>
      <c r="N7" s="6" t="s">
        <v>24</v>
      </c>
    </row>
    <row r="8" spans="1:16">
      <c r="A8" s="6">
        <v>6</v>
      </c>
      <c r="B8" s="6" t="s">
        <v>148</v>
      </c>
      <c r="C8" s="21">
        <v>9172954607</v>
      </c>
      <c r="D8" s="6" t="s">
        <v>30</v>
      </c>
      <c r="E8" s="6" t="s">
        <v>140</v>
      </c>
      <c r="F8" s="6">
        <v>6100</v>
      </c>
      <c r="G8" s="20">
        <v>0.5</v>
      </c>
      <c r="H8" s="6">
        <v>0</v>
      </c>
      <c r="I8" s="6">
        <f t="shared" si="0"/>
        <v>6100</v>
      </c>
      <c r="M8" s="6" t="s">
        <v>23</v>
      </c>
      <c r="N8" s="6" t="s">
        <v>24</v>
      </c>
      <c r="O8" s="21" t="s">
        <v>149</v>
      </c>
      <c r="P8" s="21" t="s">
        <v>150</v>
      </c>
    </row>
    <row r="9" spans="1:16">
      <c r="A9" s="6">
        <v>7</v>
      </c>
      <c r="B9" s="6" t="s">
        <v>151</v>
      </c>
      <c r="C9" s="21"/>
      <c r="D9" s="6" t="s">
        <v>30</v>
      </c>
      <c r="E9" s="6" t="s">
        <v>140</v>
      </c>
      <c r="F9" s="6">
        <v>12200</v>
      </c>
      <c r="H9" s="6">
        <v>0</v>
      </c>
      <c r="I9" s="6">
        <f t="shared" si="0"/>
        <v>12200</v>
      </c>
      <c r="O9" s="21" t="s">
        <v>141</v>
      </c>
    </row>
    <row r="10" spans="1:16">
      <c r="A10" s="6">
        <v>8</v>
      </c>
      <c r="B10" s="6" t="s">
        <v>152</v>
      </c>
      <c r="C10" s="21">
        <v>7875291470</v>
      </c>
      <c r="D10" s="6" t="s">
        <v>30</v>
      </c>
      <c r="E10" s="6" t="s">
        <v>140</v>
      </c>
      <c r="F10" s="6">
        <v>8540</v>
      </c>
      <c r="G10" s="20">
        <v>0.3</v>
      </c>
      <c r="H10" s="6">
        <v>3000</v>
      </c>
      <c r="I10" s="6">
        <f t="shared" si="0"/>
        <v>5540</v>
      </c>
      <c r="M10" s="6" t="s">
        <v>19</v>
      </c>
      <c r="N10" s="6" t="s">
        <v>20</v>
      </c>
      <c r="O10" s="21" t="s">
        <v>153</v>
      </c>
      <c r="P10" s="21" t="s">
        <v>26</v>
      </c>
    </row>
    <row r="11" spans="1:16">
      <c r="A11" s="6">
        <v>9</v>
      </c>
      <c r="B11" s="6" t="s">
        <v>154</v>
      </c>
      <c r="C11" s="21">
        <v>9697026464</v>
      </c>
      <c r="D11" s="6" t="s">
        <v>30</v>
      </c>
      <c r="E11" s="6" t="s">
        <v>140</v>
      </c>
      <c r="F11" s="6">
        <v>0</v>
      </c>
      <c r="G11" s="6" t="s">
        <v>22</v>
      </c>
      <c r="H11" s="6">
        <v>0</v>
      </c>
      <c r="I11" s="6">
        <v>0</v>
      </c>
      <c r="M11" s="6" t="s">
        <v>28</v>
      </c>
      <c r="N11" s="6" t="s">
        <v>24</v>
      </c>
      <c r="O11" s="21" t="s">
        <v>25</v>
      </c>
      <c r="P11" s="21" t="s">
        <v>122</v>
      </c>
    </row>
    <row r="12" spans="1:16">
      <c r="A12" s="6">
        <v>10</v>
      </c>
      <c r="B12" s="6" t="s">
        <v>155</v>
      </c>
      <c r="C12" s="21">
        <v>9172104521</v>
      </c>
      <c r="D12" s="6" t="s">
        <v>30</v>
      </c>
      <c r="E12" s="6" t="s">
        <v>140</v>
      </c>
      <c r="F12" s="6">
        <v>1200</v>
      </c>
      <c r="G12" s="20">
        <v>0.9</v>
      </c>
      <c r="H12" s="6">
        <v>0</v>
      </c>
      <c r="I12" s="6">
        <f t="shared" si="0"/>
        <v>1200</v>
      </c>
      <c r="M12" s="6" t="s">
        <v>40</v>
      </c>
      <c r="N12" s="6" t="s">
        <v>32</v>
      </c>
      <c r="O12" s="21" t="s">
        <v>156</v>
      </c>
      <c r="P12" s="21" t="s">
        <v>114</v>
      </c>
    </row>
    <row r="13" spans="1:16">
      <c r="A13" s="6">
        <v>11</v>
      </c>
      <c r="B13" s="6" t="s">
        <v>157</v>
      </c>
      <c r="C13" s="21">
        <v>9834525461</v>
      </c>
      <c r="D13" s="6" t="s">
        <v>30</v>
      </c>
      <c r="E13" s="6" t="s">
        <v>140</v>
      </c>
      <c r="F13" s="6">
        <v>12200</v>
      </c>
      <c r="H13" s="6">
        <v>8200</v>
      </c>
      <c r="I13" s="6">
        <f t="shared" si="0"/>
        <v>4000</v>
      </c>
      <c r="M13" s="6" t="s">
        <v>158</v>
      </c>
      <c r="N13" s="6" t="s">
        <v>159</v>
      </c>
    </row>
    <row r="14" spans="1:16">
      <c r="A14" s="6">
        <v>12</v>
      </c>
      <c r="B14" s="6" t="s">
        <v>160</v>
      </c>
      <c r="C14" s="21">
        <v>7058493849</v>
      </c>
      <c r="D14" s="6" t="s">
        <v>30</v>
      </c>
      <c r="E14" s="6" t="s">
        <v>140</v>
      </c>
      <c r="F14" s="6">
        <v>12200</v>
      </c>
      <c r="H14" s="6">
        <v>12200</v>
      </c>
      <c r="I14" s="6">
        <f t="shared" si="0"/>
        <v>0</v>
      </c>
    </row>
    <row r="15" spans="1:16">
      <c r="A15" s="6">
        <v>13</v>
      </c>
      <c r="B15" s="6" t="s">
        <v>161</v>
      </c>
      <c r="C15" s="21">
        <v>8082007650</v>
      </c>
      <c r="D15" s="6" t="s">
        <v>30</v>
      </c>
      <c r="E15" s="6" t="s">
        <v>140</v>
      </c>
      <c r="F15" s="6">
        <v>12200</v>
      </c>
      <c r="H15" s="6">
        <v>12200</v>
      </c>
      <c r="I15" s="6">
        <f t="shared" si="0"/>
        <v>0</v>
      </c>
      <c r="M15" s="6" t="s">
        <v>162</v>
      </c>
      <c r="N15" s="6" t="s">
        <v>163</v>
      </c>
    </row>
    <row r="16" spans="1:16">
      <c r="A16" s="6">
        <v>14</v>
      </c>
      <c r="B16" s="6" t="s">
        <v>164</v>
      </c>
      <c r="C16" s="21">
        <v>7559241731</v>
      </c>
      <c r="D16" s="6" t="s">
        <v>30</v>
      </c>
      <c r="E16" s="6" t="s">
        <v>140</v>
      </c>
      <c r="F16" s="6">
        <v>0</v>
      </c>
      <c r="G16" s="6" t="s">
        <v>22</v>
      </c>
      <c r="H16" s="6">
        <v>0</v>
      </c>
      <c r="I16" s="6">
        <v>0</v>
      </c>
      <c r="M16" s="6" t="s">
        <v>158</v>
      </c>
      <c r="N16" s="6" t="s">
        <v>159</v>
      </c>
    </row>
    <row r="17" spans="6:9">
      <c r="F17" s="12">
        <f>SUM(F3:F16)</f>
        <v>121340</v>
      </c>
      <c r="G17" s="12"/>
      <c r="H17" s="12">
        <f t="shared" ref="H17" si="1">SUM(H3:H16)</f>
        <v>65300</v>
      </c>
      <c r="I17" s="12">
        <f>SUM(I3:I16)</f>
        <v>56040</v>
      </c>
    </row>
    <row r="19" spans="6:9">
      <c r="H19" s="18">
        <f>H17/F17*100</f>
        <v>53.815724410746654</v>
      </c>
    </row>
    <row r="21" spans="6:9" s="18" customFormat="1"/>
    <row r="22" spans="6:9" s="18" customFormat="1"/>
    <row r="23" spans="6:9" s="18" customFormat="1"/>
    <row r="24" spans="6:9" s="18" customFormat="1"/>
    <row r="25" spans="6:9" s="18" customFormat="1"/>
    <row r="26" spans="6:9" s="18" customFormat="1"/>
    <row r="27" spans="6:9" s="18" customFormat="1"/>
    <row r="28" spans="6:9" s="18" customFormat="1"/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Q35"/>
  <sheetViews>
    <sheetView workbookViewId="0">
      <selection activeCell="I21" sqref="I21"/>
    </sheetView>
  </sheetViews>
  <sheetFormatPr defaultColWidth="9" defaultRowHeight="15.6"/>
  <cols>
    <col min="1" max="1" width="9" style="6"/>
    <col min="2" max="2" width="29.88671875" style="6" customWidth="1"/>
    <col min="3" max="3" width="29.88671875" style="21" customWidth="1"/>
    <col min="4" max="4" width="8.44140625" style="6" customWidth="1"/>
    <col min="5" max="5" width="7.88671875" style="6" customWidth="1"/>
    <col min="6" max="6" width="11.6640625" style="6" customWidth="1"/>
    <col min="7" max="7" width="17.88671875" style="6" customWidth="1"/>
    <col min="8" max="8" width="15.33203125" style="6" customWidth="1"/>
    <col min="9" max="9" width="17.77734375" style="6" customWidth="1"/>
    <col min="10" max="10" width="14.33203125" style="6" customWidth="1"/>
    <col min="11" max="11" width="17" style="6" customWidth="1"/>
    <col min="12" max="12" width="9" style="6" customWidth="1"/>
    <col min="13" max="13" width="14.109375" style="6" customWidth="1"/>
    <col min="14" max="14" width="12.6640625" style="6" customWidth="1"/>
    <col min="15" max="15" width="23.5546875" style="6" customWidth="1"/>
    <col min="16" max="16" width="17.44140625" style="6" customWidth="1"/>
    <col min="17" max="17" width="29.109375" style="6" customWidth="1"/>
    <col min="18" max="18" width="15.33203125" style="6" customWidth="1"/>
    <col min="19" max="19" width="12.44140625" style="6" customWidth="1"/>
    <col min="20" max="20" width="12" style="6" customWidth="1"/>
    <col min="21" max="21" width="17.44140625" style="6" customWidth="1"/>
    <col min="22" max="16384" width="9" style="6"/>
  </cols>
  <sheetData>
    <row r="1" spans="1:16">
      <c r="J1" s="18" t="s">
        <v>0</v>
      </c>
      <c r="K1" s="18"/>
    </row>
    <row r="2" spans="1:16" s="18" customFormat="1">
      <c r="A2" s="18" t="s">
        <v>1</v>
      </c>
      <c r="B2" s="18" t="s">
        <v>2</v>
      </c>
      <c r="C2" s="28"/>
      <c r="D2" s="18" t="s">
        <v>3</v>
      </c>
      <c r="E2" s="18" t="s">
        <v>4</v>
      </c>
      <c r="F2" s="18" t="s">
        <v>5</v>
      </c>
      <c r="G2" s="18" t="s">
        <v>6</v>
      </c>
      <c r="H2" s="18" t="s">
        <v>7</v>
      </c>
      <c r="I2" s="18" t="s">
        <v>359</v>
      </c>
      <c r="J2" s="18" t="s">
        <v>9</v>
      </c>
      <c r="K2" s="18" t="s">
        <v>10</v>
      </c>
      <c r="L2" s="18" t="s">
        <v>11</v>
      </c>
      <c r="M2" s="18" t="s">
        <v>12</v>
      </c>
      <c r="N2" s="18" t="s">
        <v>13</v>
      </c>
      <c r="O2" s="19" t="s">
        <v>14</v>
      </c>
      <c r="P2" s="19" t="s">
        <v>15</v>
      </c>
    </row>
    <row r="3" spans="1:16">
      <c r="A3" s="21">
        <v>1</v>
      </c>
      <c r="B3" s="6" t="s">
        <v>59</v>
      </c>
      <c r="C3" s="21">
        <v>9529368928</v>
      </c>
      <c r="D3" s="6" t="s">
        <v>17</v>
      </c>
      <c r="E3" s="6">
        <v>1</v>
      </c>
      <c r="F3" s="6">
        <v>16200</v>
      </c>
      <c r="G3" s="6" t="s">
        <v>60</v>
      </c>
      <c r="H3" s="6" t="s">
        <v>60</v>
      </c>
      <c r="I3" s="6">
        <v>0</v>
      </c>
      <c r="J3" s="6" t="s">
        <v>61</v>
      </c>
      <c r="K3" s="6" t="s">
        <v>62</v>
      </c>
      <c r="M3" s="6" t="s">
        <v>28</v>
      </c>
      <c r="N3" s="6" t="s">
        <v>24</v>
      </c>
      <c r="O3" s="21" t="s">
        <v>63</v>
      </c>
      <c r="P3" s="21" t="s">
        <v>64</v>
      </c>
    </row>
    <row r="4" spans="1:16">
      <c r="A4" s="21">
        <v>2</v>
      </c>
      <c r="B4" s="6" t="s">
        <v>65</v>
      </c>
      <c r="C4" s="21">
        <v>9356155617</v>
      </c>
      <c r="D4" s="6" t="s">
        <v>17</v>
      </c>
      <c r="E4" s="6">
        <v>1</v>
      </c>
      <c r="F4" s="6">
        <v>16200</v>
      </c>
      <c r="G4" s="6" t="s">
        <v>60</v>
      </c>
      <c r="H4" s="6" t="s">
        <v>60</v>
      </c>
      <c r="I4" s="6">
        <v>0</v>
      </c>
      <c r="J4" s="6" t="s">
        <v>61</v>
      </c>
      <c r="K4" s="6" t="s">
        <v>62</v>
      </c>
      <c r="M4" s="6" t="s">
        <v>40</v>
      </c>
      <c r="N4" s="6" t="s">
        <v>32</v>
      </c>
      <c r="O4" s="21" t="s">
        <v>66</v>
      </c>
      <c r="P4" s="21" t="s">
        <v>64</v>
      </c>
    </row>
    <row r="5" spans="1:16">
      <c r="A5" s="21">
        <v>3</v>
      </c>
      <c r="B5" s="6" t="s">
        <v>67</v>
      </c>
      <c r="C5" s="21">
        <v>9767689897</v>
      </c>
      <c r="D5" s="6" t="s">
        <v>17</v>
      </c>
      <c r="E5" s="6">
        <v>1</v>
      </c>
      <c r="F5" s="6">
        <v>16200</v>
      </c>
      <c r="H5" s="6">
        <v>16200</v>
      </c>
      <c r="I5" s="6">
        <f t="shared" ref="I5:I20" si="0">F5-H5</f>
        <v>0</v>
      </c>
      <c r="M5" s="6" t="s">
        <v>54</v>
      </c>
      <c r="N5" s="6" t="s">
        <v>24</v>
      </c>
    </row>
    <row r="6" spans="1:16">
      <c r="A6" s="21">
        <v>4</v>
      </c>
      <c r="B6" s="6" t="s">
        <v>68</v>
      </c>
      <c r="C6" s="21">
        <v>9923688716</v>
      </c>
      <c r="D6" s="6" t="s">
        <v>17</v>
      </c>
      <c r="E6" s="6">
        <v>1</v>
      </c>
      <c r="F6" s="6">
        <v>16200</v>
      </c>
      <c r="G6" s="6" t="s">
        <v>60</v>
      </c>
      <c r="H6" s="6" t="s">
        <v>60</v>
      </c>
      <c r="I6" s="6">
        <v>0</v>
      </c>
      <c r="J6" s="6" t="s">
        <v>61</v>
      </c>
      <c r="K6" s="6" t="s">
        <v>62</v>
      </c>
      <c r="M6" s="6" t="s">
        <v>69</v>
      </c>
      <c r="N6" s="6" t="s">
        <v>46</v>
      </c>
      <c r="O6" s="21" t="s">
        <v>25</v>
      </c>
      <c r="P6" s="21" t="s">
        <v>70</v>
      </c>
    </row>
    <row r="7" spans="1:16">
      <c r="A7" s="21">
        <v>5</v>
      </c>
      <c r="B7" s="6" t="s">
        <v>71</v>
      </c>
      <c r="C7" s="21">
        <v>8677867777</v>
      </c>
      <c r="D7" s="6" t="s">
        <v>17</v>
      </c>
      <c r="E7" s="6">
        <v>1</v>
      </c>
      <c r="F7" s="6">
        <v>16200</v>
      </c>
      <c r="H7" s="6">
        <v>16200</v>
      </c>
      <c r="I7" s="6">
        <f t="shared" si="0"/>
        <v>0</v>
      </c>
      <c r="J7" s="6">
        <v>2823</v>
      </c>
      <c r="K7" s="29">
        <v>45939</v>
      </c>
      <c r="M7" s="6" t="s">
        <v>54</v>
      </c>
      <c r="N7" s="6" t="s">
        <v>24</v>
      </c>
      <c r="O7" s="21" t="s">
        <v>72</v>
      </c>
      <c r="P7" s="21" t="s">
        <v>64</v>
      </c>
    </row>
    <row r="8" spans="1:16">
      <c r="A8" s="21">
        <v>6</v>
      </c>
      <c r="B8" s="6" t="s">
        <v>73</v>
      </c>
      <c r="C8" s="21">
        <v>9370401366</v>
      </c>
      <c r="D8" s="6" t="s">
        <v>17</v>
      </c>
      <c r="E8" s="6">
        <v>1</v>
      </c>
      <c r="F8" s="6">
        <v>16200</v>
      </c>
      <c r="H8" s="6">
        <v>16200</v>
      </c>
      <c r="I8" s="6">
        <f t="shared" si="0"/>
        <v>0</v>
      </c>
      <c r="J8" s="6">
        <v>2803</v>
      </c>
      <c r="K8" s="29">
        <v>45930</v>
      </c>
      <c r="M8" s="6" t="s">
        <v>40</v>
      </c>
      <c r="N8" s="6" t="s">
        <v>32</v>
      </c>
      <c r="O8" s="21" t="s">
        <v>74</v>
      </c>
    </row>
    <row r="9" spans="1:16">
      <c r="A9" s="21">
        <v>7</v>
      </c>
      <c r="B9" s="6" t="s">
        <v>75</v>
      </c>
      <c r="C9" s="21">
        <v>6395064076</v>
      </c>
      <c r="D9" s="6" t="s">
        <v>17</v>
      </c>
      <c r="E9" s="6">
        <v>1</v>
      </c>
      <c r="F9" s="6">
        <v>8100</v>
      </c>
      <c r="G9" s="20">
        <v>0.5</v>
      </c>
      <c r="H9" s="6">
        <v>8100</v>
      </c>
      <c r="I9" s="6">
        <f t="shared" si="0"/>
        <v>0</v>
      </c>
      <c r="J9" s="6">
        <v>2847</v>
      </c>
      <c r="K9" s="29">
        <v>45969</v>
      </c>
      <c r="M9" s="6" t="s">
        <v>19</v>
      </c>
      <c r="N9" s="6" t="s">
        <v>20</v>
      </c>
      <c r="O9" s="21" t="s">
        <v>76</v>
      </c>
      <c r="P9" s="21" t="s">
        <v>64</v>
      </c>
    </row>
    <row r="10" spans="1:16">
      <c r="A10" s="21">
        <v>8</v>
      </c>
      <c r="B10" s="6" t="s">
        <v>77</v>
      </c>
      <c r="D10" s="6" t="s">
        <v>17</v>
      </c>
      <c r="E10" s="6">
        <v>1</v>
      </c>
      <c r="F10" s="6">
        <v>12200</v>
      </c>
      <c r="G10" s="6" t="s">
        <v>78</v>
      </c>
      <c r="H10" s="6">
        <v>12200</v>
      </c>
      <c r="I10" s="6">
        <v>0</v>
      </c>
      <c r="J10" s="6" t="s">
        <v>61</v>
      </c>
      <c r="K10" s="6" t="s">
        <v>62</v>
      </c>
      <c r="M10" s="6" t="s">
        <v>79</v>
      </c>
      <c r="N10" s="6" t="s">
        <v>80</v>
      </c>
    </row>
    <row r="11" spans="1:16">
      <c r="A11" s="21">
        <v>9</v>
      </c>
      <c r="B11" s="6" t="s">
        <v>81</v>
      </c>
      <c r="C11" s="21">
        <v>7720870317</v>
      </c>
      <c r="D11" s="6" t="s">
        <v>17</v>
      </c>
      <c r="E11" s="6">
        <v>1</v>
      </c>
      <c r="F11" s="6">
        <v>3050</v>
      </c>
      <c r="G11" s="20">
        <v>0.75</v>
      </c>
      <c r="H11" s="6">
        <v>2000</v>
      </c>
      <c r="I11" s="6">
        <f t="shared" si="0"/>
        <v>1050</v>
      </c>
      <c r="J11" s="6">
        <v>2865</v>
      </c>
      <c r="K11" s="29">
        <v>45979</v>
      </c>
      <c r="M11" s="6" t="s">
        <v>28</v>
      </c>
      <c r="N11" s="6" t="s">
        <v>80</v>
      </c>
    </row>
    <row r="12" spans="1:16">
      <c r="A12" s="21">
        <v>10</v>
      </c>
      <c r="B12" s="6" t="s">
        <v>82</v>
      </c>
      <c r="D12" s="6" t="s">
        <v>17</v>
      </c>
      <c r="E12" s="6">
        <v>1</v>
      </c>
      <c r="F12" s="6">
        <v>16200</v>
      </c>
      <c r="G12" s="6" t="s">
        <v>78</v>
      </c>
      <c r="H12" s="6">
        <v>16200</v>
      </c>
      <c r="I12" s="6">
        <v>0</v>
      </c>
      <c r="M12" s="6" t="s">
        <v>79</v>
      </c>
      <c r="N12" s="6" t="s">
        <v>80</v>
      </c>
    </row>
    <row r="13" spans="1:16">
      <c r="A13" s="21">
        <v>11</v>
      </c>
      <c r="B13" s="6" t="s">
        <v>84</v>
      </c>
      <c r="C13" s="21">
        <v>9975609853</v>
      </c>
      <c r="D13" s="6" t="s">
        <v>17</v>
      </c>
      <c r="E13" s="6">
        <v>1</v>
      </c>
      <c r="F13" s="6">
        <v>16200</v>
      </c>
      <c r="H13" s="6">
        <v>7000</v>
      </c>
      <c r="I13" s="6">
        <f t="shared" si="0"/>
        <v>9200</v>
      </c>
      <c r="M13" s="6" t="s">
        <v>28</v>
      </c>
      <c r="N13" s="6" t="s">
        <v>24</v>
      </c>
    </row>
    <row r="14" spans="1:16">
      <c r="A14" s="21">
        <v>12</v>
      </c>
      <c r="B14" s="6" t="s">
        <v>85</v>
      </c>
      <c r="D14" s="6" t="s">
        <v>17</v>
      </c>
      <c r="E14" s="6">
        <v>1</v>
      </c>
      <c r="F14" s="6">
        <v>16200</v>
      </c>
      <c r="G14" s="6" t="s">
        <v>78</v>
      </c>
      <c r="H14" s="6">
        <f>F14</f>
        <v>16200</v>
      </c>
      <c r="I14" s="6">
        <v>0</v>
      </c>
      <c r="M14" s="6" t="s">
        <v>79</v>
      </c>
      <c r="N14" s="6" t="s">
        <v>80</v>
      </c>
    </row>
    <row r="15" spans="1:16">
      <c r="A15" s="21">
        <v>13</v>
      </c>
      <c r="B15" s="6" t="s">
        <v>86</v>
      </c>
      <c r="C15" s="21">
        <v>8767223103</v>
      </c>
      <c r="D15" s="6" t="s">
        <v>17</v>
      </c>
      <c r="E15" s="6">
        <v>1</v>
      </c>
      <c r="F15" s="6">
        <v>0</v>
      </c>
      <c r="G15" s="6" t="s">
        <v>22</v>
      </c>
      <c r="H15" s="6" t="s">
        <v>22</v>
      </c>
      <c r="I15" s="6">
        <v>0</v>
      </c>
      <c r="J15" s="6" t="s">
        <v>61</v>
      </c>
      <c r="K15" s="6" t="s">
        <v>62</v>
      </c>
      <c r="M15" s="6" t="s">
        <v>19</v>
      </c>
      <c r="N15" s="6" t="s">
        <v>20</v>
      </c>
    </row>
    <row r="16" spans="1:16">
      <c r="A16" s="21">
        <v>14</v>
      </c>
      <c r="B16" s="6" t="s">
        <v>87</v>
      </c>
      <c r="D16" s="6" t="s">
        <v>17</v>
      </c>
      <c r="E16" s="6">
        <v>1</v>
      </c>
      <c r="F16" s="6">
        <v>16200</v>
      </c>
      <c r="H16" s="6">
        <v>9450</v>
      </c>
      <c r="I16" s="6">
        <f t="shared" si="0"/>
        <v>6750</v>
      </c>
      <c r="J16" s="6" t="s">
        <v>88</v>
      </c>
      <c r="K16" s="6" t="s">
        <v>89</v>
      </c>
      <c r="M16" s="6" t="s">
        <v>19</v>
      </c>
      <c r="N16" s="6" t="s">
        <v>20</v>
      </c>
    </row>
    <row r="17" spans="1:16">
      <c r="A17" s="21">
        <v>15</v>
      </c>
      <c r="B17" s="6" t="s">
        <v>90</v>
      </c>
      <c r="C17" s="21">
        <v>9923355136</v>
      </c>
      <c r="D17" s="6" t="s">
        <v>30</v>
      </c>
      <c r="E17" s="6">
        <v>1</v>
      </c>
      <c r="F17" s="6">
        <v>12200</v>
      </c>
      <c r="H17" s="6">
        <v>5000</v>
      </c>
      <c r="I17" s="6">
        <f t="shared" si="0"/>
        <v>7200</v>
      </c>
      <c r="M17" s="6" t="s">
        <v>40</v>
      </c>
      <c r="N17" s="6" t="s">
        <v>32</v>
      </c>
      <c r="O17" s="21" t="s">
        <v>91</v>
      </c>
    </row>
    <row r="18" spans="1:16">
      <c r="A18" s="21">
        <v>16</v>
      </c>
      <c r="B18" s="6" t="s">
        <v>92</v>
      </c>
      <c r="C18" s="21">
        <v>9975074600</v>
      </c>
      <c r="D18" s="6" t="s">
        <v>30</v>
      </c>
      <c r="E18" s="6">
        <v>1</v>
      </c>
      <c r="F18" s="6">
        <v>12200</v>
      </c>
      <c r="G18" s="6" t="s">
        <v>60</v>
      </c>
      <c r="H18" s="6" t="s">
        <v>60</v>
      </c>
      <c r="I18" s="6">
        <v>0</v>
      </c>
      <c r="J18" s="6" t="s">
        <v>93</v>
      </c>
      <c r="K18" s="6" t="s">
        <v>62</v>
      </c>
      <c r="M18" s="6" t="s">
        <v>19</v>
      </c>
      <c r="N18" s="6" t="s">
        <v>20</v>
      </c>
    </row>
    <row r="19" spans="1:16">
      <c r="A19" s="21">
        <v>17</v>
      </c>
      <c r="B19" s="6" t="s">
        <v>94</v>
      </c>
      <c r="C19" s="21">
        <v>9834614015</v>
      </c>
      <c r="D19" s="6" t="s">
        <v>30</v>
      </c>
      <c r="E19" s="6">
        <v>1</v>
      </c>
      <c r="F19" s="6">
        <v>9150</v>
      </c>
      <c r="G19" s="20">
        <v>0.25</v>
      </c>
      <c r="H19" s="6">
        <v>0</v>
      </c>
      <c r="I19" s="6">
        <f t="shared" si="0"/>
        <v>9150</v>
      </c>
      <c r="M19" s="6" t="s">
        <v>19</v>
      </c>
      <c r="N19" s="6" t="s">
        <v>20</v>
      </c>
      <c r="O19" s="21" t="s">
        <v>58</v>
      </c>
      <c r="P19" s="21" t="s">
        <v>64</v>
      </c>
    </row>
    <row r="20" spans="1:16">
      <c r="A20" s="21">
        <v>18</v>
      </c>
      <c r="B20" s="6" t="s">
        <v>95</v>
      </c>
      <c r="C20" s="21">
        <v>9529295079</v>
      </c>
      <c r="D20" s="6" t="s">
        <v>30</v>
      </c>
      <c r="E20" s="6">
        <v>1</v>
      </c>
      <c r="F20" s="6">
        <v>12200</v>
      </c>
      <c r="H20" s="6">
        <v>12200</v>
      </c>
      <c r="I20" s="6">
        <f t="shared" si="0"/>
        <v>0</v>
      </c>
      <c r="J20" s="6">
        <v>2814</v>
      </c>
      <c r="K20" s="29">
        <v>45936</v>
      </c>
      <c r="M20" s="6" t="s">
        <v>96</v>
      </c>
      <c r="N20" s="6" t="s">
        <v>97</v>
      </c>
    </row>
    <row r="21" spans="1:16">
      <c r="A21" s="21">
        <v>19</v>
      </c>
      <c r="B21" s="6" t="s">
        <v>98</v>
      </c>
      <c r="C21" s="21">
        <v>7420930118</v>
      </c>
      <c r="D21" s="6" t="s">
        <v>30</v>
      </c>
      <c r="E21" s="6">
        <v>1</v>
      </c>
      <c r="F21" s="6">
        <v>0</v>
      </c>
      <c r="G21" s="6" t="s">
        <v>51</v>
      </c>
      <c r="H21" s="6">
        <v>0</v>
      </c>
      <c r="I21" s="6">
        <v>0</v>
      </c>
      <c r="M21" s="6" t="s">
        <v>54</v>
      </c>
      <c r="N21" s="6" t="s">
        <v>24</v>
      </c>
      <c r="O21" s="21" t="s">
        <v>43</v>
      </c>
      <c r="P21" s="21" t="s">
        <v>99</v>
      </c>
    </row>
    <row r="22" spans="1:16">
      <c r="F22" s="30">
        <f>SUM(F3:F21)</f>
        <v>231100</v>
      </c>
      <c r="G22" s="31"/>
      <c r="H22" s="30">
        <f t="shared" ref="H22" si="1">SUM(H3:H21)</f>
        <v>136950</v>
      </c>
      <c r="I22" s="32">
        <f>F22-H22</f>
        <v>94150</v>
      </c>
    </row>
    <row r="25" spans="1:16">
      <c r="H25" s="18">
        <f>H22/F22*100</f>
        <v>59.260060579835574</v>
      </c>
    </row>
    <row r="35" spans="17:17">
      <c r="Q35" s="6" t="s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1:P22"/>
  <sheetViews>
    <sheetView workbookViewId="0">
      <selection activeCell="B19" sqref="B19"/>
    </sheetView>
  </sheetViews>
  <sheetFormatPr defaultColWidth="16.33203125" defaultRowHeight="15.6"/>
  <cols>
    <col min="1" max="1" width="6.109375" style="6" customWidth="1"/>
    <col min="2" max="2" width="28.77734375" style="6" customWidth="1"/>
    <col min="3" max="4" width="16.33203125" style="6"/>
    <col min="5" max="5" width="8.109375" style="6" customWidth="1"/>
    <col min="6" max="14" width="16.33203125" style="6"/>
    <col min="15" max="15" width="24.33203125" style="6" customWidth="1"/>
    <col min="16" max="16" width="25.109375" style="6" customWidth="1"/>
    <col min="17" max="16384" width="16.33203125" style="6"/>
  </cols>
  <sheetData>
    <row r="1" spans="1:16">
      <c r="F1" s="18" t="s">
        <v>0</v>
      </c>
      <c r="G1" s="18"/>
    </row>
    <row r="2" spans="1:16">
      <c r="A2" s="18" t="s">
        <v>1</v>
      </c>
      <c r="B2" s="18" t="s">
        <v>2</v>
      </c>
      <c r="C2" s="18"/>
      <c r="D2" s="18" t="s">
        <v>3</v>
      </c>
      <c r="E2" s="18" t="s">
        <v>4</v>
      </c>
      <c r="F2" s="18" t="s">
        <v>5</v>
      </c>
      <c r="G2" s="18" t="s">
        <v>6</v>
      </c>
      <c r="H2" s="18" t="s">
        <v>7</v>
      </c>
      <c r="I2" s="18" t="s">
        <v>8</v>
      </c>
      <c r="J2" s="18" t="s">
        <v>9</v>
      </c>
      <c r="K2" s="18" t="s">
        <v>10</v>
      </c>
      <c r="L2" s="18" t="s">
        <v>11</v>
      </c>
      <c r="M2" s="18" t="s">
        <v>12</v>
      </c>
      <c r="N2" s="18" t="s">
        <v>13</v>
      </c>
      <c r="O2" s="19" t="s">
        <v>14</v>
      </c>
      <c r="P2" s="19" t="s">
        <v>15</v>
      </c>
    </row>
    <row r="3" spans="1:16">
      <c r="A3" s="21">
        <v>1</v>
      </c>
      <c r="B3" s="6" t="s">
        <v>165</v>
      </c>
      <c r="C3" s="6">
        <v>9975294705</v>
      </c>
      <c r="D3" s="6" t="s">
        <v>17</v>
      </c>
      <c r="E3" s="21">
        <v>2</v>
      </c>
      <c r="F3" s="21">
        <v>16200</v>
      </c>
      <c r="G3" s="21"/>
      <c r="H3" s="21">
        <v>0</v>
      </c>
      <c r="I3" s="21">
        <f>F3-H3</f>
        <v>16200</v>
      </c>
      <c r="J3" s="21"/>
      <c r="M3" s="6" t="s">
        <v>19</v>
      </c>
      <c r="N3" s="6" t="s">
        <v>20</v>
      </c>
      <c r="O3" s="21" t="s">
        <v>166</v>
      </c>
      <c r="P3" s="21" t="s">
        <v>26</v>
      </c>
    </row>
    <row r="4" spans="1:16">
      <c r="A4" s="21">
        <v>2</v>
      </c>
      <c r="B4" s="6" t="s">
        <v>167</v>
      </c>
      <c r="C4" s="6">
        <v>7722011014</v>
      </c>
      <c r="D4" s="6" t="s">
        <v>17</v>
      </c>
      <c r="E4" s="21">
        <v>2</v>
      </c>
      <c r="F4" s="21">
        <v>16200</v>
      </c>
      <c r="G4" s="21" t="s">
        <v>60</v>
      </c>
      <c r="H4" s="21">
        <v>0</v>
      </c>
      <c r="I4" s="21">
        <f t="shared" ref="I4:I15" si="0">F4-H4</f>
        <v>16200</v>
      </c>
      <c r="J4" s="21" t="s">
        <v>168</v>
      </c>
      <c r="M4" s="6" t="s">
        <v>54</v>
      </c>
      <c r="N4" s="6" t="s">
        <v>24</v>
      </c>
      <c r="O4" s="21" t="s">
        <v>169</v>
      </c>
      <c r="P4" s="21" t="s">
        <v>26</v>
      </c>
    </row>
    <row r="5" spans="1:16">
      <c r="A5" s="21">
        <v>3</v>
      </c>
      <c r="B5" s="6" t="s">
        <v>170</v>
      </c>
      <c r="C5" s="6">
        <v>9834525461</v>
      </c>
      <c r="D5" s="6" t="s">
        <v>17</v>
      </c>
      <c r="E5" s="21">
        <v>2</v>
      </c>
      <c r="F5" s="21">
        <v>16200</v>
      </c>
      <c r="G5" s="21" t="s">
        <v>60</v>
      </c>
      <c r="H5" s="21">
        <v>0</v>
      </c>
      <c r="I5" s="21">
        <f t="shared" si="0"/>
        <v>16200</v>
      </c>
      <c r="J5" s="21" t="s">
        <v>168</v>
      </c>
      <c r="M5" s="6" t="s">
        <v>171</v>
      </c>
      <c r="N5" s="6" t="s">
        <v>32</v>
      </c>
      <c r="O5" s="21" t="s">
        <v>172</v>
      </c>
      <c r="P5" s="21" t="s">
        <v>26</v>
      </c>
    </row>
    <row r="6" spans="1:16">
      <c r="A6" s="21">
        <v>4</v>
      </c>
      <c r="B6" s="6" t="s">
        <v>173</v>
      </c>
      <c r="C6" s="6">
        <v>9975332700</v>
      </c>
      <c r="D6" s="6" t="s">
        <v>17</v>
      </c>
      <c r="E6" s="21">
        <v>2</v>
      </c>
      <c r="F6" s="21">
        <v>16200</v>
      </c>
      <c r="G6" s="21">
        <v>0</v>
      </c>
      <c r="H6" s="21">
        <v>0</v>
      </c>
      <c r="I6" s="21">
        <f t="shared" si="0"/>
        <v>16200</v>
      </c>
      <c r="J6" s="21"/>
      <c r="M6" s="6" t="s">
        <v>19</v>
      </c>
      <c r="N6" s="6" t="s">
        <v>20</v>
      </c>
    </row>
    <row r="7" spans="1:16">
      <c r="A7" s="21">
        <v>5</v>
      </c>
      <c r="B7" s="6" t="s">
        <v>174</v>
      </c>
      <c r="C7" s="6">
        <v>9172104521</v>
      </c>
      <c r="D7" s="6" t="s">
        <v>17</v>
      </c>
      <c r="E7" s="21">
        <v>2</v>
      </c>
      <c r="F7" s="21">
        <v>2000</v>
      </c>
      <c r="G7" s="24">
        <v>0.9</v>
      </c>
      <c r="H7" s="21">
        <v>2000</v>
      </c>
      <c r="I7" s="21">
        <f t="shared" si="0"/>
        <v>0</v>
      </c>
      <c r="J7" s="21"/>
      <c r="M7" s="6" t="s">
        <v>79</v>
      </c>
      <c r="N7" s="6" t="s">
        <v>80</v>
      </c>
    </row>
    <row r="8" spans="1:16">
      <c r="A8" s="21">
        <v>6</v>
      </c>
      <c r="B8" s="6" t="s">
        <v>175</v>
      </c>
      <c r="C8" s="6">
        <v>9975133438</v>
      </c>
      <c r="D8" s="6" t="s">
        <v>17</v>
      </c>
      <c r="E8" s="21">
        <v>2</v>
      </c>
      <c r="F8" s="21">
        <v>16200</v>
      </c>
      <c r="G8" s="21"/>
      <c r="H8" s="21">
        <v>5400</v>
      </c>
      <c r="I8" s="21">
        <f t="shared" si="0"/>
        <v>10800</v>
      </c>
      <c r="J8" s="21"/>
      <c r="M8" s="6" t="s">
        <v>28</v>
      </c>
      <c r="N8" s="6" t="s">
        <v>24</v>
      </c>
    </row>
    <row r="9" spans="1:16">
      <c r="A9" s="21">
        <v>7</v>
      </c>
      <c r="B9" s="6" t="s">
        <v>176</v>
      </c>
      <c r="C9" s="6">
        <v>9373841037</v>
      </c>
      <c r="D9" s="6" t="s">
        <v>17</v>
      </c>
      <c r="E9" s="21">
        <v>2</v>
      </c>
      <c r="F9" s="21">
        <v>0</v>
      </c>
      <c r="G9" s="21" t="s">
        <v>22</v>
      </c>
      <c r="H9" s="21">
        <v>0</v>
      </c>
      <c r="I9" s="21">
        <v>0</v>
      </c>
      <c r="J9" s="21" t="s">
        <v>168</v>
      </c>
      <c r="M9" s="6" t="s">
        <v>118</v>
      </c>
      <c r="N9" s="6" t="s">
        <v>119</v>
      </c>
    </row>
    <row r="10" spans="1:16">
      <c r="A10" s="21">
        <v>8</v>
      </c>
      <c r="B10" s="6" t="s">
        <v>177</v>
      </c>
      <c r="D10" s="6" t="s">
        <v>17</v>
      </c>
      <c r="E10" s="21">
        <v>2</v>
      </c>
      <c r="F10" s="21">
        <v>16200</v>
      </c>
      <c r="G10" s="21" t="s">
        <v>83</v>
      </c>
      <c r="H10" s="21">
        <f>F10</f>
        <v>16200</v>
      </c>
      <c r="I10" s="21">
        <v>0</v>
      </c>
      <c r="J10" s="21" t="s">
        <v>168</v>
      </c>
      <c r="M10" s="6" t="s">
        <v>79</v>
      </c>
      <c r="N10" s="6" t="s">
        <v>80</v>
      </c>
    </row>
    <row r="11" spans="1:16">
      <c r="A11" s="21">
        <v>9</v>
      </c>
      <c r="B11" s="6" t="s">
        <v>178</v>
      </c>
      <c r="C11" s="6">
        <v>7559241731</v>
      </c>
      <c r="D11" s="6" t="s">
        <v>17</v>
      </c>
      <c r="E11" s="21">
        <v>2</v>
      </c>
      <c r="F11" s="21">
        <v>0</v>
      </c>
      <c r="G11" s="21" t="s">
        <v>22</v>
      </c>
      <c r="H11" s="21">
        <v>0</v>
      </c>
      <c r="I11" s="21">
        <v>0</v>
      </c>
      <c r="J11" s="21" t="s">
        <v>168</v>
      </c>
      <c r="M11" s="6" t="s">
        <v>45</v>
      </c>
      <c r="N11" s="6" t="s">
        <v>159</v>
      </c>
    </row>
    <row r="12" spans="1:16">
      <c r="A12" s="21">
        <v>10</v>
      </c>
      <c r="B12" s="6" t="s">
        <v>179</v>
      </c>
      <c r="D12" s="6" t="s">
        <v>17</v>
      </c>
      <c r="E12" s="21">
        <v>2</v>
      </c>
      <c r="F12" s="21">
        <v>16200</v>
      </c>
      <c r="G12" s="21" t="s">
        <v>83</v>
      </c>
      <c r="H12" s="21">
        <f>F12</f>
        <v>16200</v>
      </c>
      <c r="I12" s="21">
        <v>0</v>
      </c>
      <c r="J12" s="21" t="s">
        <v>168</v>
      </c>
      <c r="M12" s="6" t="s">
        <v>79</v>
      </c>
      <c r="N12" s="6" t="s">
        <v>80</v>
      </c>
    </row>
    <row r="13" spans="1:16">
      <c r="A13" s="21">
        <v>11</v>
      </c>
      <c r="B13" s="6" t="s">
        <v>180</v>
      </c>
      <c r="D13" s="6" t="s">
        <v>17</v>
      </c>
      <c r="E13" s="21">
        <v>2</v>
      </c>
      <c r="F13" s="21">
        <v>12200</v>
      </c>
      <c r="G13" s="21" t="s">
        <v>83</v>
      </c>
      <c r="H13" s="21">
        <f>F13</f>
        <v>12200</v>
      </c>
      <c r="I13" s="21">
        <v>0</v>
      </c>
      <c r="J13" s="21" t="s">
        <v>168</v>
      </c>
      <c r="M13" s="6" t="s">
        <v>79</v>
      </c>
      <c r="N13" s="6" t="s">
        <v>80</v>
      </c>
    </row>
    <row r="14" spans="1:16">
      <c r="A14" s="21">
        <v>12</v>
      </c>
      <c r="B14" s="6" t="s">
        <v>181</v>
      </c>
      <c r="C14" s="6">
        <v>7841047576</v>
      </c>
      <c r="D14" s="6" t="s">
        <v>30</v>
      </c>
      <c r="E14" s="21">
        <v>2</v>
      </c>
      <c r="F14" s="21">
        <v>12200</v>
      </c>
      <c r="G14" s="21">
        <v>0</v>
      </c>
      <c r="H14" s="21">
        <v>12200</v>
      </c>
      <c r="I14" s="21">
        <f t="shared" si="0"/>
        <v>0</v>
      </c>
      <c r="J14" s="21"/>
      <c r="M14" s="6" t="s">
        <v>54</v>
      </c>
      <c r="N14" s="6" t="s">
        <v>24</v>
      </c>
    </row>
    <row r="15" spans="1:16">
      <c r="A15" s="21">
        <v>13</v>
      </c>
      <c r="B15" s="6" t="s">
        <v>182</v>
      </c>
      <c r="C15" s="6">
        <v>9067134452</v>
      </c>
      <c r="D15" s="6" t="s">
        <v>30</v>
      </c>
      <c r="E15" s="21">
        <v>2</v>
      </c>
      <c r="F15" s="21">
        <v>12200</v>
      </c>
      <c r="G15" s="21">
        <v>0</v>
      </c>
      <c r="H15" s="21">
        <v>12200</v>
      </c>
      <c r="I15" s="21">
        <f t="shared" si="0"/>
        <v>0</v>
      </c>
      <c r="J15" s="21"/>
      <c r="M15" s="6" t="s">
        <v>19</v>
      </c>
      <c r="N15" s="6" t="s">
        <v>20</v>
      </c>
      <c r="O15" s="21" t="s">
        <v>183</v>
      </c>
      <c r="P15" s="21" t="s">
        <v>26</v>
      </c>
    </row>
    <row r="16" spans="1:16">
      <c r="A16" s="21">
        <v>14</v>
      </c>
      <c r="B16" s="6" t="s">
        <v>184</v>
      </c>
      <c r="C16" s="6">
        <v>9834918810</v>
      </c>
      <c r="D16" s="6" t="s">
        <v>30</v>
      </c>
      <c r="E16" s="21">
        <v>2</v>
      </c>
      <c r="F16" s="21">
        <v>9150</v>
      </c>
      <c r="G16" s="24">
        <v>0.25</v>
      </c>
      <c r="H16" s="21">
        <v>9150</v>
      </c>
      <c r="I16" s="21">
        <v>0</v>
      </c>
      <c r="J16" s="21" t="s">
        <v>185</v>
      </c>
      <c r="M16" s="6" t="s">
        <v>107</v>
      </c>
      <c r="N16" s="6" t="s">
        <v>108</v>
      </c>
      <c r="O16" s="21" t="s">
        <v>109</v>
      </c>
      <c r="P16" s="21" t="s">
        <v>26</v>
      </c>
    </row>
    <row r="17" spans="1:16">
      <c r="A17" s="21">
        <v>15</v>
      </c>
      <c r="B17" s="6" t="s">
        <v>186</v>
      </c>
      <c r="C17" s="6">
        <v>9021176633</v>
      </c>
      <c r="D17" s="6" t="s">
        <v>30</v>
      </c>
      <c r="E17" s="21">
        <v>2</v>
      </c>
      <c r="F17" s="21">
        <v>9150</v>
      </c>
      <c r="G17" s="24">
        <v>0.25</v>
      </c>
      <c r="H17" s="21">
        <v>0</v>
      </c>
      <c r="I17" s="21">
        <f>F17-H17</f>
        <v>9150</v>
      </c>
      <c r="J17" s="21"/>
      <c r="M17" s="6" t="s">
        <v>19</v>
      </c>
      <c r="N17" s="6" t="s">
        <v>20</v>
      </c>
      <c r="O17" s="21" t="s">
        <v>187</v>
      </c>
      <c r="P17" s="21" t="s">
        <v>26</v>
      </c>
    </row>
    <row r="18" spans="1:16">
      <c r="A18" s="21">
        <v>16</v>
      </c>
      <c r="B18" s="6" t="s">
        <v>188</v>
      </c>
      <c r="D18" s="6" t="s">
        <v>30</v>
      </c>
      <c r="E18" s="21">
        <v>2</v>
      </c>
      <c r="F18" s="21">
        <v>0</v>
      </c>
      <c r="G18" s="21" t="s">
        <v>22</v>
      </c>
      <c r="H18" s="21">
        <v>0</v>
      </c>
      <c r="I18" s="21">
        <v>0</v>
      </c>
      <c r="J18" s="21" t="s">
        <v>62</v>
      </c>
      <c r="M18" s="6" t="s">
        <v>23</v>
      </c>
      <c r="N18" s="6" t="s">
        <v>24</v>
      </c>
    </row>
    <row r="19" spans="1:16">
      <c r="E19" s="21"/>
      <c r="F19" s="21"/>
      <c r="G19" s="21"/>
      <c r="H19" s="21"/>
      <c r="I19" s="51"/>
      <c r="J19" s="21"/>
    </row>
    <row r="20" spans="1:16">
      <c r="F20" s="51">
        <f>SUM(F3:F18)</f>
        <v>170300</v>
      </c>
      <c r="G20" s="51"/>
      <c r="H20" s="51">
        <f t="shared" ref="H20" si="1">SUM(H3:H18)</f>
        <v>85550</v>
      </c>
      <c r="I20" s="51">
        <f>SUM(I3:I18)</f>
        <v>84750</v>
      </c>
    </row>
    <row r="22" spans="1:16">
      <c r="H22" s="18">
        <f>H20/F20*100</f>
        <v>50.234879624192594</v>
      </c>
    </row>
  </sheetData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7"/>
  <dimension ref="A1:Q29"/>
  <sheetViews>
    <sheetView topLeftCell="A11" zoomScale="115" zoomScaleNormal="115" workbookViewId="0">
      <selection activeCell="B31" sqref="B31"/>
    </sheetView>
  </sheetViews>
  <sheetFormatPr defaultColWidth="9" defaultRowHeight="15.6"/>
  <cols>
    <col min="1" max="1" width="6.6640625" style="6" customWidth="1"/>
    <col min="2" max="3" width="19.6640625" style="6" customWidth="1"/>
    <col min="4" max="4" width="7.6640625" style="6" customWidth="1"/>
    <col min="5" max="5" width="7.77734375" style="6" customWidth="1"/>
    <col min="6" max="6" width="12.77734375" style="6" customWidth="1"/>
    <col min="7" max="7" width="10.6640625" style="6" customWidth="1"/>
    <col min="8" max="8" width="13.6640625" style="6" customWidth="1"/>
    <col min="9" max="9" width="13.21875" style="6" customWidth="1"/>
    <col min="10" max="10" width="12.6640625" style="6" customWidth="1"/>
    <col min="11" max="11" width="7" style="6" customWidth="1"/>
    <col min="12" max="12" width="14.44140625" style="6" customWidth="1"/>
    <col min="13" max="13" width="12.5546875" style="6" customWidth="1"/>
    <col min="14" max="14" width="9" style="6"/>
    <col min="15" max="15" width="23.21875" style="6" customWidth="1"/>
    <col min="16" max="16" width="18.88671875" style="6" customWidth="1"/>
    <col min="17" max="16384" width="9" style="6"/>
  </cols>
  <sheetData>
    <row r="1" spans="1:17">
      <c r="A1" s="5"/>
      <c r="B1" s="5"/>
      <c r="C1" s="5"/>
      <c r="D1" s="5"/>
      <c r="E1" s="5"/>
      <c r="F1" s="5"/>
      <c r="G1" s="5"/>
      <c r="H1" s="52" t="s">
        <v>0</v>
      </c>
      <c r="I1" s="52"/>
      <c r="J1" s="5"/>
      <c r="K1" s="5"/>
      <c r="L1" s="5"/>
      <c r="M1" s="5"/>
      <c r="N1" s="5"/>
      <c r="O1" s="5"/>
      <c r="P1" s="5"/>
      <c r="Q1" s="5"/>
    </row>
    <row r="2" spans="1:17">
      <c r="A2" s="52" t="s">
        <v>1</v>
      </c>
      <c r="B2" s="52" t="s">
        <v>2</v>
      </c>
      <c r="C2" s="52"/>
      <c r="D2" s="52" t="s">
        <v>3</v>
      </c>
      <c r="E2" s="52" t="s">
        <v>4</v>
      </c>
      <c r="F2" s="52" t="s">
        <v>5</v>
      </c>
      <c r="G2" s="52" t="s">
        <v>6</v>
      </c>
      <c r="H2" s="52" t="s">
        <v>7</v>
      </c>
      <c r="I2" s="52" t="s">
        <v>8</v>
      </c>
      <c r="J2" s="52" t="s">
        <v>9</v>
      </c>
      <c r="K2" s="52" t="s">
        <v>10</v>
      </c>
      <c r="L2" s="52" t="s">
        <v>11</v>
      </c>
      <c r="M2" s="52" t="s">
        <v>12</v>
      </c>
      <c r="N2" s="52" t="s">
        <v>13</v>
      </c>
      <c r="O2" s="53" t="s">
        <v>14</v>
      </c>
      <c r="P2" s="53" t="s">
        <v>15</v>
      </c>
      <c r="Q2" s="5"/>
    </row>
    <row r="3" spans="1:17">
      <c r="A3" s="5">
        <v>1</v>
      </c>
      <c r="B3" s="54" t="s">
        <v>101</v>
      </c>
      <c r="C3" s="54">
        <v>9356164268</v>
      </c>
      <c r="D3" s="5" t="s">
        <v>17</v>
      </c>
      <c r="E3" s="5">
        <v>3</v>
      </c>
      <c r="F3" s="5">
        <v>16200</v>
      </c>
      <c r="G3" s="5"/>
      <c r="H3" s="5">
        <v>6200</v>
      </c>
      <c r="I3" s="5">
        <f t="shared" ref="I3:I8" si="0">F3-H3</f>
        <v>10000</v>
      </c>
      <c r="J3" s="5"/>
      <c r="K3" s="5"/>
      <c r="L3" s="5"/>
      <c r="M3" s="5" t="s">
        <v>28</v>
      </c>
      <c r="N3" s="5" t="s">
        <v>24</v>
      </c>
      <c r="O3" s="10" t="s">
        <v>102</v>
      </c>
      <c r="P3" s="10" t="s">
        <v>26</v>
      </c>
      <c r="Q3" s="5"/>
    </row>
    <row r="4" spans="1:17">
      <c r="A4" s="5">
        <v>2</v>
      </c>
      <c r="B4" s="54" t="s">
        <v>103</v>
      </c>
      <c r="C4" s="54"/>
      <c r="D4" s="5" t="s">
        <v>17</v>
      </c>
      <c r="E4" s="5">
        <v>3</v>
      </c>
      <c r="F4" s="5">
        <v>16200</v>
      </c>
      <c r="G4" s="5"/>
      <c r="H4" s="5">
        <v>16200</v>
      </c>
      <c r="I4" s="5">
        <f t="shared" si="0"/>
        <v>0</v>
      </c>
      <c r="J4" s="5">
        <v>2870</v>
      </c>
      <c r="K4" s="5"/>
      <c r="L4" s="5"/>
      <c r="M4" s="5" t="s">
        <v>28</v>
      </c>
      <c r="N4" s="5" t="s">
        <v>24</v>
      </c>
      <c r="O4" s="10" t="s">
        <v>104</v>
      </c>
      <c r="P4" s="10" t="s">
        <v>105</v>
      </c>
      <c r="Q4" s="5"/>
    </row>
    <row r="5" spans="1:17">
      <c r="A5" s="5">
        <v>3</v>
      </c>
      <c r="B5" s="54" t="s">
        <v>106</v>
      </c>
      <c r="C5" s="54">
        <v>9834918801</v>
      </c>
      <c r="D5" s="5" t="s">
        <v>17</v>
      </c>
      <c r="E5" s="5">
        <v>3</v>
      </c>
      <c r="F5" s="5">
        <v>16200</v>
      </c>
      <c r="G5" s="5"/>
      <c r="H5" s="5">
        <v>9000</v>
      </c>
      <c r="I5" s="5">
        <f t="shared" si="0"/>
        <v>7200</v>
      </c>
      <c r="J5" s="5"/>
      <c r="K5" s="5"/>
      <c r="L5" s="5"/>
      <c r="M5" s="5" t="s">
        <v>107</v>
      </c>
      <c r="N5" s="5" t="s">
        <v>108</v>
      </c>
      <c r="O5" s="55" t="s">
        <v>109</v>
      </c>
      <c r="P5" s="55" t="s">
        <v>26</v>
      </c>
      <c r="Q5" s="5"/>
    </row>
    <row r="6" spans="1:17">
      <c r="A6" s="5">
        <v>4</v>
      </c>
      <c r="B6" s="54" t="s">
        <v>110</v>
      </c>
      <c r="C6" s="54"/>
      <c r="D6" s="5" t="s">
        <v>17</v>
      </c>
      <c r="E6" s="5">
        <v>3</v>
      </c>
      <c r="F6" s="5">
        <v>16200</v>
      </c>
      <c r="G6" s="5" t="s">
        <v>78</v>
      </c>
      <c r="H6" s="5">
        <f>F6</f>
        <v>16200</v>
      </c>
      <c r="I6" s="5">
        <v>0</v>
      </c>
      <c r="J6" s="5"/>
      <c r="K6" s="5"/>
      <c r="L6" s="5"/>
      <c r="M6" s="5" t="s">
        <v>79</v>
      </c>
      <c r="N6" s="5" t="s">
        <v>80</v>
      </c>
      <c r="O6" s="10"/>
      <c r="P6" s="5"/>
      <c r="Q6" s="5"/>
    </row>
    <row r="7" spans="1:17">
      <c r="A7" s="5">
        <v>5</v>
      </c>
      <c r="B7" s="54" t="s">
        <v>111</v>
      </c>
      <c r="C7" s="54"/>
      <c r="D7" s="5" t="s">
        <v>17</v>
      </c>
      <c r="E7" s="5">
        <v>3</v>
      </c>
      <c r="F7" s="5">
        <v>12200</v>
      </c>
      <c r="G7" s="56" t="s">
        <v>78</v>
      </c>
      <c r="H7" s="5">
        <f>F7</f>
        <v>12200</v>
      </c>
      <c r="I7" s="5">
        <v>0</v>
      </c>
      <c r="J7" s="5"/>
      <c r="K7" s="5"/>
      <c r="L7" s="5"/>
      <c r="M7" s="5" t="s">
        <v>79</v>
      </c>
      <c r="N7" s="5" t="s">
        <v>80</v>
      </c>
      <c r="O7" s="5"/>
      <c r="P7" s="5"/>
      <c r="Q7" s="5"/>
    </row>
    <row r="8" spans="1:17">
      <c r="A8" s="5">
        <v>6</v>
      </c>
      <c r="B8" s="54" t="s">
        <v>112</v>
      </c>
      <c r="C8" s="54"/>
      <c r="D8" s="5" t="s">
        <v>17</v>
      </c>
      <c r="E8" s="5">
        <v>3</v>
      </c>
      <c r="F8" s="5">
        <v>16200</v>
      </c>
      <c r="G8" s="5"/>
      <c r="H8" s="5">
        <v>16200</v>
      </c>
      <c r="I8" s="5">
        <f t="shared" si="0"/>
        <v>0</v>
      </c>
      <c r="J8" s="5">
        <v>5400</v>
      </c>
      <c r="K8" s="5"/>
      <c r="L8" s="5"/>
      <c r="M8" s="5" t="s">
        <v>96</v>
      </c>
      <c r="N8" s="5" t="s">
        <v>97</v>
      </c>
      <c r="O8" s="5" t="s">
        <v>43</v>
      </c>
      <c r="P8" s="5" t="s">
        <v>26</v>
      </c>
      <c r="Q8" s="5"/>
    </row>
    <row r="9" spans="1:17">
      <c r="A9" s="5">
        <v>7</v>
      </c>
      <c r="B9" s="54" t="s">
        <v>364</v>
      </c>
      <c r="C9" s="54">
        <v>7020692613</v>
      </c>
      <c r="D9" s="5" t="s">
        <v>17</v>
      </c>
      <c r="E9" s="5">
        <v>3</v>
      </c>
      <c r="F9" s="5">
        <v>0</v>
      </c>
      <c r="G9" s="5" t="s">
        <v>22</v>
      </c>
      <c r="H9" s="5" t="s">
        <v>22</v>
      </c>
      <c r="I9" s="5">
        <v>0</v>
      </c>
      <c r="J9" s="5"/>
      <c r="K9" s="5"/>
      <c r="L9" s="5"/>
      <c r="M9" s="5" t="s">
        <v>113</v>
      </c>
      <c r="N9" s="5" t="s">
        <v>49</v>
      </c>
      <c r="O9" s="5" t="s">
        <v>114</v>
      </c>
      <c r="P9" s="5" t="s">
        <v>26</v>
      </c>
      <c r="Q9" s="5"/>
    </row>
    <row r="10" spans="1:17" s="27" customFormat="1">
      <c r="A10" s="5">
        <v>8</v>
      </c>
      <c r="B10" s="57" t="s">
        <v>115</v>
      </c>
      <c r="C10" s="57">
        <v>9890986259</v>
      </c>
      <c r="D10" s="57" t="s">
        <v>17</v>
      </c>
      <c r="E10" s="57">
        <v>3</v>
      </c>
      <c r="F10" s="57">
        <v>0</v>
      </c>
      <c r="G10" s="57"/>
      <c r="H10" s="57" t="s">
        <v>358</v>
      </c>
      <c r="I10" s="57">
        <v>0</v>
      </c>
      <c r="J10" s="57"/>
      <c r="K10" s="57"/>
      <c r="L10" s="57"/>
      <c r="M10" s="57"/>
      <c r="N10" s="57"/>
      <c r="O10" s="57"/>
      <c r="P10" s="57"/>
      <c r="Q10" s="57"/>
    </row>
    <row r="11" spans="1:17" s="27" customFormat="1">
      <c r="A11" s="57">
        <v>9</v>
      </c>
      <c r="B11" s="57" t="s">
        <v>116</v>
      </c>
      <c r="C11" s="57">
        <v>9699873105</v>
      </c>
      <c r="D11" s="57" t="s">
        <v>17</v>
      </c>
      <c r="E11" s="57">
        <v>3</v>
      </c>
      <c r="F11" s="57">
        <v>0</v>
      </c>
      <c r="G11" s="57"/>
      <c r="H11" s="57" t="s">
        <v>358</v>
      </c>
      <c r="I11" s="57">
        <v>0</v>
      </c>
      <c r="J11" s="57"/>
      <c r="K11" s="57"/>
      <c r="L11" s="57"/>
      <c r="M11" s="57"/>
      <c r="N11" s="57"/>
      <c r="O11" s="57"/>
      <c r="P11" s="57"/>
      <c r="Q11" s="57"/>
    </row>
    <row r="12" spans="1:17" s="27" customFormat="1">
      <c r="A12" s="57">
        <v>10</v>
      </c>
      <c r="B12" s="57" t="s">
        <v>117</v>
      </c>
      <c r="C12" s="57"/>
      <c r="D12" s="57" t="s">
        <v>17</v>
      </c>
      <c r="E12" s="57">
        <v>3</v>
      </c>
      <c r="F12" s="57">
        <v>0</v>
      </c>
      <c r="G12" s="57" t="s">
        <v>22</v>
      </c>
      <c r="H12" s="57" t="s">
        <v>22</v>
      </c>
      <c r="I12" s="57">
        <v>0</v>
      </c>
      <c r="J12" s="57">
        <v>0</v>
      </c>
      <c r="K12" s="57"/>
      <c r="L12" s="57"/>
      <c r="M12" s="57" t="s">
        <v>118</v>
      </c>
      <c r="N12" s="57" t="s">
        <v>119</v>
      </c>
      <c r="O12" s="57"/>
      <c r="P12" s="57"/>
      <c r="Q12" s="57"/>
    </row>
    <row r="13" spans="1:17" s="27" customFormat="1">
      <c r="A13" s="57">
        <v>11</v>
      </c>
      <c r="B13" s="57" t="s">
        <v>120</v>
      </c>
      <c r="C13" s="57"/>
      <c r="D13" s="57" t="s">
        <v>17</v>
      </c>
      <c r="E13" s="57">
        <v>3</v>
      </c>
      <c r="F13" s="57">
        <v>16200</v>
      </c>
      <c r="G13" s="57" t="s">
        <v>78</v>
      </c>
      <c r="H13" s="57">
        <v>16200</v>
      </c>
      <c r="I13" s="57">
        <v>0</v>
      </c>
      <c r="J13" s="57">
        <v>0</v>
      </c>
      <c r="K13" s="57"/>
      <c r="L13" s="57"/>
      <c r="M13" s="57" t="s">
        <v>79</v>
      </c>
      <c r="N13" s="57" t="s">
        <v>80</v>
      </c>
      <c r="O13" s="58"/>
      <c r="P13" s="58"/>
      <c r="Q13" s="57"/>
    </row>
    <row r="14" spans="1:17">
      <c r="A14" s="5">
        <v>12</v>
      </c>
      <c r="B14" s="5" t="s">
        <v>121</v>
      </c>
      <c r="C14" s="5"/>
      <c r="D14" s="5" t="s">
        <v>30</v>
      </c>
      <c r="E14" s="5">
        <v>3</v>
      </c>
      <c r="F14" s="5">
        <v>12200</v>
      </c>
      <c r="G14" s="5"/>
      <c r="H14" s="5">
        <v>12200</v>
      </c>
      <c r="I14" s="5">
        <f t="shared" ref="I14:I21" si="1">F14-H14</f>
        <v>0</v>
      </c>
      <c r="J14" s="5"/>
      <c r="K14" s="5"/>
      <c r="L14" s="5"/>
      <c r="M14" s="5" t="s">
        <v>28</v>
      </c>
      <c r="N14" s="5" t="s">
        <v>24</v>
      </c>
      <c r="O14" s="59" t="s">
        <v>25</v>
      </c>
      <c r="P14" s="59" t="s">
        <v>122</v>
      </c>
      <c r="Q14" s="5"/>
    </row>
    <row r="15" spans="1:17">
      <c r="A15" s="5">
        <v>13</v>
      </c>
      <c r="B15" s="5" t="s">
        <v>123</v>
      </c>
      <c r="C15" s="5"/>
      <c r="D15" s="5" t="s">
        <v>30</v>
      </c>
      <c r="E15" s="5">
        <v>3</v>
      </c>
      <c r="F15" s="5">
        <v>9150</v>
      </c>
      <c r="G15" s="56">
        <v>0.25</v>
      </c>
      <c r="H15" s="5">
        <v>3000</v>
      </c>
      <c r="I15" s="5">
        <f t="shared" si="1"/>
        <v>6150</v>
      </c>
      <c r="J15" s="5">
        <v>2836</v>
      </c>
      <c r="K15" s="5"/>
      <c r="L15" s="5"/>
      <c r="M15" s="5" t="s">
        <v>19</v>
      </c>
      <c r="N15" s="5" t="s">
        <v>20</v>
      </c>
      <c r="O15" s="59" t="s">
        <v>124</v>
      </c>
      <c r="P15" s="59" t="s">
        <v>26</v>
      </c>
      <c r="Q15" s="5"/>
    </row>
    <row r="16" spans="1:17">
      <c r="A16" s="5">
        <v>14</v>
      </c>
      <c r="B16" s="5" t="s">
        <v>125</v>
      </c>
      <c r="C16" s="5">
        <v>9975332700</v>
      </c>
      <c r="D16" s="5" t="s">
        <v>30</v>
      </c>
      <c r="E16" s="5">
        <v>3</v>
      </c>
      <c r="F16" s="5">
        <v>9150</v>
      </c>
      <c r="G16" s="56">
        <v>0.25</v>
      </c>
      <c r="H16" s="5">
        <v>0</v>
      </c>
      <c r="I16" s="5">
        <f t="shared" si="1"/>
        <v>9150</v>
      </c>
      <c r="J16" s="5"/>
      <c r="K16" s="5"/>
      <c r="L16" s="5"/>
      <c r="M16" s="5" t="s">
        <v>19</v>
      </c>
      <c r="N16" s="5" t="s">
        <v>20</v>
      </c>
      <c r="O16" s="59" t="s">
        <v>58</v>
      </c>
      <c r="P16" s="59" t="s">
        <v>26</v>
      </c>
      <c r="Q16" s="60" t="s">
        <v>126</v>
      </c>
    </row>
    <row r="17" spans="1:17">
      <c r="A17" s="5">
        <v>15</v>
      </c>
      <c r="B17" s="5" t="s">
        <v>127</v>
      </c>
      <c r="C17" s="5">
        <v>9545773510</v>
      </c>
      <c r="D17" s="5" t="s">
        <v>30</v>
      </c>
      <c r="E17" s="5">
        <v>3</v>
      </c>
      <c r="F17" s="5">
        <v>12200</v>
      </c>
      <c r="G17" s="5"/>
      <c r="H17" s="5">
        <v>0</v>
      </c>
      <c r="I17" s="5">
        <f t="shared" si="1"/>
        <v>12200</v>
      </c>
      <c r="J17" s="5"/>
      <c r="K17" s="5"/>
      <c r="L17" s="5"/>
      <c r="M17" s="5" t="s">
        <v>40</v>
      </c>
      <c r="N17" s="5" t="s">
        <v>32</v>
      </c>
      <c r="O17" s="5"/>
      <c r="P17" s="5"/>
      <c r="Q17" s="5"/>
    </row>
    <row r="18" spans="1:17">
      <c r="A18" s="5">
        <v>16</v>
      </c>
      <c r="B18" s="5" t="s">
        <v>128</v>
      </c>
      <c r="C18" s="5">
        <v>7057125914</v>
      </c>
      <c r="D18" s="5" t="s">
        <v>30</v>
      </c>
      <c r="E18" s="5">
        <v>3</v>
      </c>
      <c r="F18" s="5">
        <v>12200</v>
      </c>
      <c r="G18" s="5"/>
      <c r="H18" s="5" t="s">
        <v>129</v>
      </c>
      <c r="I18" s="5">
        <v>0</v>
      </c>
      <c r="J18" s="5" t="s">
        <v>62</v>
      </c>
      <c r="K18" s="5"/>
      <c r="L18" s="5"/>
      <c r="M18" s="5" t="s">
        <v>28</v>
      </c>
      <c r="N18" s="5" t="s">
        <v>24</v>
      </c>
      <c r="O18" s="59" t="s">
        <v>130</v>
      </c>
      <c r="P18" s="59" t="s">
        <v>131</v>
      </c>
      <c r="Q18" s="5"/>
    </row>
    <row r="19" spans="1:17">
      <c r="A19" s="5">
        <v>17</v>
      </c>
      <c r="B19" s="5" t="s">
        <v>132</v>
      </c>
      <c r="C19" s="5">
        <v>7263882149</v>
      </c>
      <c r="D19" s="5" t="s">
        <v>30</v>
      </c>
      <c r="E19" s="5">
        <v>3</v>
      </c>
      <c r="F19" s="5">
        <v>12200</v>
      </c>
      <c r="G19" s="5"/>
      <c r="H19" s="5">
        <v>12200</v>
      </c>
      <c r="I19" s="5">
        <f t="shared" si="1"/>
        <v>0</v>
      </c>
      <c r="J19" s="5"/>
      <c r="K19" s="5"/>
      <c r="L19" s="5"/>
      <c r="M19" s="5" t="s">
        <v>40</v>
      </c>
      <c r="N19" s="5" t="s">
        <v>32</v>
      </c>
      <c r="O19" s="5"/>
      <c r="P19" s="5"/>
      <c r="Q19" s="5"/>
    </row>
    <row r="20" spans="1:17">
      <c r="A20" s="5">
        <v>18</v>
      </c>
      <c r="B20" s="5" t="s">
        <v>133</v>
      </c>
      <c r="C20" s="5">
        <v>9579020523</v>
      </c>
      <c r="D20" s="5" t="s">
        <v>30</v>
      </c>
      <c r="E20" s="5">
        <v>3</v>
      </c>
      <c r="F20" s="5">
        <v>9150</v>
      </c>
      <c r="G20" s="5"/>
      <c r="H20" s="5">
        <v>7000</v>
      </c>
      <c r="I20" s="5">
        <f t="shared" si="1"/>
        <v>2150</v>
      </c>
      <c r="J20" s="5"/>
      <c r="K20" s="5"/>
      <c r="L20" s="5"/>
      <c r="M20" s="5" t="s">
        <v>28</v>
      </c>
      <c r="N20" s="5" t="s">
        <v>24</v>
      </c>
      <c r="O20" s="5"/>
      <c r="P20" s="5"/>
      <c r="Q20" s="5"/>
    </row>
    <row r="21" spans="1:17">
      <c r="A21" s="5">
        <v>19</v>
      </c>
      <c r="B21" s="5" t="s">
        <v>134</v>
      </c>
      <c r="C21" s="5">
        <v>7038514008</v>
      </c>
      <c r="D21" s="5" t="s">
        <v>30</v>
      </c>
      <c r="E21" s="5">
        <v>3</v>
      </c>
      <c r="F21" s="5">
        <v>12200</v>
      </c>
      <c r="G21" s="5"/>
      <c r="H21" s="5">
        <v>6000</v>
      </c>
      <c r="I21" s="5">
        <f t="shared" si="1"/>
        <v>6200</v>
      </c>
      <c r="J21" s="5"/>
      <c r="K21" s="5"/>
      <c r="L21" s="5"/>
      <c r="M21" s="5" t="s">
        <v>40</v>
      </c>
      <c r="N21" s="5" t="s">
        <v>32</v>
      </c>
      <c r="O21" s="5"/>
      <c r="P21" s="5"/>
      <c r="Q21" s="5"/>
    </row>
    <row r="22" spans="1:17">
      <c r="A22" s="5">
        <v>20</v>
      </c>
      <c r="B22" s="5" t="s">
        <v>135</v>
      </c>
      <c r="C22" s="5">
        <v>9922809600</v>
      </c>
      <c r="D22" s="5" t="s">
        <v>30</v>
      </c>
      <c r="E22" s="5">
        <v>3</v>
      </c>
      <c r="F22" s="5">
        <v>12200</v>
      </c>
      <c r="G22" s="5" t="s">
        <v>136</v>
      </c>
      <c r="H22" s="5" t="s">
        <v>129</v>
      </c>
      <c r="I22" s="5">
        <v>0</v>
      </c>
      <c r="J22" s="5" t="s">
        <v>62</v>
      </c>
      <c r="K22" s="5"/>
      <c r="L22" s="5"/>
      <c r="M22" s="5"/>
      <c r="N22" s="5"/>
      <c r="O22" s="5"/>
      <c r="P22" s="5"/>
      <c r="Q22" s="5"/>
    </row>
    <row r="23" spans="1:17">
      <c r="A23" s="5">
        <v>21</v>
      </c>
      <c r="B23" s="5" t="s">
        <v>365</v>
      </c>
      <c r="C23" s="5">
        <v>8007924257</v>
      </c>
      <c r="D23" s="5" t="s">
        <v>30</v>
      </c>
      <c r="E23" s="5">
        <v>3</v>
      </c>
      <c r="F23" s="5">
        <v>0</v>
      </c>
      <c r="G23" s="5" t="s">
        <v>22</v>
      </c>
      <c r="H23" s="5" t="s">
        <v>22</v>
      </c>
      <c r="I23" s="5">
        <v>0</v>
      </c>
      <c r="J23" s="5" t="s">
        <v>62</v>
      </c>
      <c r="K23" s="5"/>
      <c r="L23" s="5"/>
      <c r="M23" s="5" t="s">
        <v>23</v>
      </c>
      <c r="N23" s="5" t="s">
        <v>24</v>
      </c>
      <c r="O23" s="5"/>
      <c r="P23" s="5"/>
      <c r="Q23" s="5"/>
    </row>
    <row r="24" spans="1:17">
      <c r="A24" s="5">
        <v>22</v>
      </c>
      <c r="B24" s="5" t="s">
        <v>137</v>
      </c>
      <c r="C24" s="5"/>
      <c r="D24" s="5" t="s">
        <v>30</v>
      </c>
      <c r="E24" s="5">
        <v>3</v>
      </c>
      <c r="F24" s="5">
        <v>0</v>
      </c>
      <c r="G24" s="5" t="s">
        <v>22</v>
      </c>
      <c r="H24" s="5" t="s">
        <v>22</v>
      </c>
      <c r="I24" s="5">
        <v>0</v>
      </c>
      <c r="J24" s="5" t="s">
        <v>62</v>
      </c>
      <c r="K24" s="5"/>
      <c r="L24" s="5"/>
      <c r="M24" s="5" t="s">
        <v>19</v>
      </c>
      <c r="N24" s="5" t="s">
        <v>20</v>
      </c>
      <c r="O24" s="5"/>
      <c r="P24" s="5"/>
      <c r="Q24" s="5"/>
    </row>
    <row r="25" spans="1:17">
      <c r="A25" s="5">
        <v>23</v>
      </c>
      <c r="B25" s="5" t="s">
        <v>138</v>
      </c>
      <c r="C25" s="5"/>
      <c r="D25" s="5" t="s">
        <v>30</v>
      </c>
      <c r="E25" s="5">
        <v>3</v>
      </c>
      <c r="F25" s="5">
        <v>0</v>
      </c>
      <c r="G25" s="5" t="s">
        <v>22</v>
      </c>
      <c r="H25" s="5" t="s">
        <v>22</v>
      </c>
      <c r="I25" s="5">
        <v>0</v>
      </c>
      <c r="J25" s="5" t="s">
        <v>62</v>
      </c>
      <c r="K25" s="5"/>
      <c r="L25" s="5"/>
      <c r="M25" s="5" t="s">
        <v>45</v>
      </c>
      <c r="N25" s="5" t="s">
        <v>49</v>
      </c>
      <c r="O25" s="5"/>
      <c r="P25" s="5"/>
      <c r="Q25" s="5"/>
    </row>
    <row r="26" spans="1:17">
      <c r="A26" s="5"/>
      <c r="B26" s="5"/>
      <c r="C26" s="5"/>
      <c r="D26" s="5"/>
      <c r="E26" s="5"/>
      <c r="F26" s="61">
        <f>SUM(F3:F25)</f>
        <v>210050</v>
      </c>
      <c r="G26" s="61"/>
      <c r="H26" s="61">
        <f t="shared" ref="H26" si="2">SUM(H3:H25)</f>
        <v>132600</v>
      </c>
      <c r="I26" s="62">
        <f>F26-H26</f>
        <v>77450</v>
      </c>
      <c r="J26" s="5"/>
      <c r="K26" s="5"/>
      <c r="L26" s="5"/>
      <c r="M26" s="5"/>
      <c r="N26" s="5"/>
      <c r="O26" s="5"/>
      <c r="P26" s="5"/>
      <c r="Q26" s="5"/>
    </row>
    <row r="29" spans="1:17">
      <c r="H29" s="18">
        <f>H26/F26*100</f>
        <v>63.12782670792668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P35"/>
  <sheetViews>
    <sheetView topLeftCell="A15" workbookViewId="0">
      <selection activeCell="D38" sqref="D38"/>
    </sheetView>
  </sheetViews>
  <sheetFormatPr defaultColWidth="8.88671875" defaultRowHeight="14.4"/>
  <cols>
    <col min="2" max="3" width="24" customWidth="1"/>
    <col min="6" max="6" width="15.33203125" customWidth="1"/>
    <col min="7" max="7" width="21.88671875" customWidth="1"/>
    <col min="8" max="8" width="14.5546875" customWidth="1"/>
    <col min="9" max="9" width="14.21875" customWidth="1"/>
    <col min="10" max="10" width="17.5546875" customWidth="1"/>
    <col min="13" max="13" width="14" customWidth="1"/>
    <col min="15" max="15" width="21.88671875" customWidth="1"/>
    <col min="16" max="16" width="18.88671875" customWidth="1"/>
  </cols>
  <sheetData>
    <row r="1" spans="1:16" ht="15.6">
      <c r="A1" s="6"/>
      <c r="B1" s="6"/>
      <c r="C1" s="6"/>
      <c r="D1" s="6"/>
      <c r="E1" s="6"/>
      <c r="F1" s="6"/>
      <c r="G1" s="18" t="s">
        <v>0</v>
      </c>
      <c r="H1" s="18"/>
      <c r="I1" s="6"/>
      <c r="J1" s="6"/>
      <c r="K1" s="6"/>
      <c r="L1" s="6"/>
      <c r="M1" s="6"/>
      <c r="N1" s="6"/>
      <c r="O1" s="6"/>
      <c r="P1" s="6"/>
    </row>
    <row r="2" spans="1:16" ht="15.6">
      <c r="A2" s="18" t="s">
        <v>1</v>
      </c>
      <c r="B2" s="18" t="s">
        <v>2</v>
      </c>
      <c r="C2" s="18"/>
      <c r="D2" s="18" t="s">
        <v>3</v>
      </c>
      <c r="E2" s="18" t="s">
        <v>4</v>
      </c>
      <c r="F2" s="18" t="s">
        <v>5</v>
      </c>
      <c r="G2" s="18" t="s">
        <v>6</v>
      </c>
      <c r="H2" s="18" t="s">
        <v>7</v>
      </c>
      <c r="I2" s="18" t="s">
        <v>8</v>
      </c>
      <c r="J2" s="18" t="s">
        <v>9</v>
      </c>
      <c r="K2" s="18" t="s">
        <v>10</v>
      </c>
      <c r="L2" s="18" t="s">
        <v>11</v>
      </c>
      <c r="M2" s="18" t="s">
        <v>12</v>
      </c>
      <c r="N2" s="18" t="s">
        <v>13</v>
      </c>
      <c r="O2" s="19" t="s">
        <v>14</v>
      </c>
      <c r="P2" s="19" t="s">
        <v>15</v>
      </c>
    </row>
    <row r="3" spans="1:16" ht="16.95" customHeight="1">
      <c r="A3" s="22">
        <v>1</v>
      </c>
      <c r="B3" s="23" t="s">
        <v>189</v>
      </c>
      <c r="C3" s="23"/>
      <c r="D3" s="22" t="s">
        <v>17</v>
      </c>
      <c r="E3" s="22">
        <v>4</v>
      </c>
      <c r="F3" s="22">
        <v>16200</v>
      </c>
      <c r="G3" s="21"/>
      <c r="H3" s="21">
        <v>16200</v>
      </c>
      <c r="I3" s="6">
        <f>F3-H3</f>
        <v>0</v>
      </c>
      <c r="J3" s="6"/>
      <c r="K3" s="6"/>
      <c r="L3" s="6"/>
      <c r="M3" s="6" t="s">
        <v>54</v>
      </c>
      <c r="N3" s="6" t="s">
        <v>24</v>
      </c>
      <c r="O3" s="21" t="s">
        <v>190</v>
      </c>
      <c r="P3" s="21" t="s">
        <v>64</v>
      </c>
    </row>
    <row r="4" spans="1:16" ht="15.6">
      <c r="A4" s="22">
        <v>2</v>
      </c>
      <c r="B4" s="23" t="s">
        <v>191</v>
      </c>
      <c r="C4" s="23">
        <v>9967125742</v>
      </c>
      <c r="D4" s="22" t="s">
        <v>17</v>
      </c>
      <c r="E4" s="22">
        <v>4</v>
      </c>
      <c r="F4" s="22">
        <v>16200</v>
      </c>
      <c r="G4" s="21"/>
      <c r="H4" s="21">
        <v>5000</v>
      </c>
      <c r="I4" s="6">
        <f t="shared" ref="I4:I30" si="0">F4-H4</f>
        <v>11200</v>
      </c>
      <c r="J4" s="6"/>
      <c r="K4" s="6"/>
      <c r="L4" s="6"/>
      <c r="M4" s="6" t="s">
        <v>28</v>
      </c>
      <c r="N4" s="6" t="s">
        <v>24</v>
      </c>
      <c r="O4" s="21" t="s">
        <v>192</v>
      </c>
      <c r="P4" s="21" t="s">
        <v>193</v>
      </c>
    </row>
    <row r="5" spans="1:16" ht="15.6">
      <c r="A5" s="22">
        <v>3</v>
      </c>
      <c r="B5" s="23" t="s">
        <v>194</v>
      </c>
      <c r="C5" s="23">
        <v>9766876363</v>
      </c>
      <c r="D5" s="22" t="s">
        <v>17</v>
      </c>
      <c r="E5" s="22">
        <v>4</v>
      </c>
      <c r="F5" s="22">
        <v>16200</v>
      </c>
      <c r="G5" s="21"/>
      <c r="H5" s="21">
        <v>16200</v>
      </c>
      <c r="I5" s="6">
        <f t="shared" si="0"/>
        <v>0</v>
      </c>
      <c r="J5" s="6"/>
      <c r="K5" s="6"/>
      <c r="L5" s="6"/>
      <c r="M5" s="6" t="s">
        <v>19</v>
      </c>
      <c r="N5" s="6" t="s">
        <v>20</v>
      </c>
      <c r="O5" s="21" t="s">
        <v>195</v>
      </c>
      <c r="P5" s="21" t="s">
        <v>64</v>
      </c>
    </row>
    <row r="6" spans="1:16" ht="15.6">
      <c r="A6" s="22">
        <v>4</v>
      </c>
      <c r="B6" s="23" t="s">
        <v>196</v>
      </c>
      <c r="C6" s="23">
        <v>9373238576</v>
      </c>
      <c r="D6" s="22" t="s">
        <v>17</v>
      </c>
      <c r="E6" s="22">
        <v>4</v>
      </c>
      <c r="F6" s="22">
        <v>16200</v>
      </c>
      <c r="G6" s="21"/>
      <c r="H6" s="21">
        <v>0</v>
      </c>
      <c r="I6" s="6">
        <f t="shared" si="0"/>
        <v>16200</v>
      </c>
      <c r="J6" s="6"/>
      <c r="K6" s="6"/>
      <c r="L6" s="6"/>
      <c r="M6" s="6" t="s">
        <v>28</v>
      </c>
      <c r="N6" s="6" t="s">
        <v>24</v>
      </c>
      <c r="O6" s="21" t="s">
        <v>197</v>
      </c>
      <c r="P6" s="21" t="s">
        <v>64</v>
      </c>
    </row>
    <row r="7" spans="1:16" ht="15.6">
      <c r="A7" s="22">
        <v>5</v>
      </c>
      <c r="B7" s="23" t="s">
        <v>198</v>
      </c>
      <c r="C7" s="23"/>
      <c r="D7" s="22" t="s">
        <v>17</v>
      </c>
      <c r="E7" s="22">
        <v>4</v>
      </c>
      <c r="F7" s="22">
        <v>16200</v>
      </c>
      <c r="G7" s="21"/>
      <c r="H7" s="21">
        <v>0</v>
      </c>
      <c r="I7" s="6">
        <f t="shared" si="0"/>
        <v>16200</v>
      </c>
      <c r="J7" s="6"/>
      <c r="K7" s="6"/>
      <c r="L7" s="6"/>
      <c r="M7" s="6" t="s">
        <v>199</v>
      </c>
      <c r="N7" s="6" t="s">
        <v>32</v>
      </c>
      <c r="O7" s="21" t="s">
        <v>172</v>
      </c>
      <c r="P7" s="21" t="s">
        <v>43</v>
      </c>
    </row>
    <row r="8" spans="1:16" ht="15.6">
      <c r="A8" s="22">
        <v>6</v>
      </c>
      <c r="B8" s="23" t="s">
        <v>200</v>
      </c>
      <c r="C8" s="23"/>
      <c r="D8" s="22" t="s">
        <v>17</v>
      </c>
      <c r="E8" s="22">
        <v>4</v>
      </c>
      <c r="F8" s="22">
        <v>16200</v>
      </c>
      <c r="G8" s="21"/>
      <c r="H8" s="21">
        <v>16200</v>
      </c>
      <c r="I8" s="6">
        <f t="shared" si="0"/>
        <v>0</v>
      </c>
      <c r="J8" s="6"/>
      <c r="K8" s="6"/>
      <c r="L8" s="6"/>
      <c r="M8" s="6" t="s">
        <v>201</v>
      </c>
      <c r="N8" s="6" t="s">
        <v>24</v>
      </c>
      <c r="O8" s="21" t="s">
        <v>202</v>
      </c>
      <c r="P8" s="21" t="s">
        <v>64</v>
      </c>
    </row>
    <row r="9" spans="1:16" ht="15.6">
      <c r="A9" s="22">
        <v>7</v>
      </c>
      <c r="B9" s="23" t="s">
        <v>203</v>
      </c>
      <c r="C9" s="23">
        <v>8390635894</v>
      </c>
      <c r="D9" s="22" t="s">
        <v>17</v>
      </c>
      <c r="E9" s="22">
        <v>4</v>
      </c>
      <c r="F9" s="22">
        <v>16200</v>
      </c>
      <c r="G9" s="21"/>
      <c r="H9" s="21">
        <v>0</v>
      </c>
      <c r="I9" s="6">
        <f t="shared" si="0"/>
        <v>16200</v>
      </c>
      <c r="J9" s="6"/>
      <c r="K9" s="6"/>
      <c r="L9" s="6"/>
      <c r="M9" s="6" t="s">
        <v>19</v>
      </c>
      <c r="N9" s="6" t="s">
        <v>20</v>
      </c>
      <c r="O9" s="21" t="s">
        <v>204</v>
      </c>
      <c r="P9" s="21" t="s">
        <v>64</v>
      </c>
    </row>
    <row r="10" spans="1:16" ht="15.6">
      <c r="A10" s="22">
        <v>8</v>
      </c>
      <c r="B10" s="23" t="s">
        <v>205</v>
      </c>
      <c r="C10" s="23">
        <v>9730004940</v>
      </c>
      <c r="D10" s="22" t="s">
        <v>17</v>
      </c>
      <c r="E10" s="22">
        <v>4</v>
      </c>
      <c r="F10" s="22">
        <v>16200</v>
      </c>
      <c r="G10" s="21" t="s">
        <v>60</v>
      </c>
      <c r="H10" s="21" t="s">
        <v>60</v>
      </c>
      <c r="I10" s="6">
        <v>0</v>
      </c>
      <c r="J10" s="6"/>
      <c r="K10" s="6"/>
      <c r="L10" s="6"/>
      <c r="M10" s="6" t="s">
        <v>28</v>
      </c>
      <c r="N10" s="6" t="s">
        <v>24</v>
      </c>
      <c r="O10" s="6"/>
      <c r="P10" s="6"/>
    </row>
    <row r="11" spans="1:16" ht="15.6">
      <c r="A11" s="22">
        <v>9</v>
      </c>
      <c r="B11" s="23" t="s">
        <v>206</v>
      </c>
      <c r="C11" s="23">
        <v>7887895321</v>
      </c>
      <c r="D11" s="22" t="s">
        <v>17</v>
      </c>
      <c r="E11" s="22">
        <v>4</v>
      </c>
      <c r="F11" s="22">
        <v>16200</v>
      </c>
      <c r="G11" s="21"/>
      <c r="H11" s="21">
        <v>0</v>
      </c>
      <c r="I11" s="6">
        <f t="shared" si="0"/>
        <v>16200</v>
      </c>
      <c r="J11" s="6"/>
      <c r="K11" s="6"/>
      <c r="L11" s="6"/>
      <c r="M11" s="6" t="s">
        <v>23</v>
      </c>
      <c r="N11" s="6" t="s">
        <v>163</v>
      </c>
      <c r="O11" s="21"/>
      <c r="P11" s="21" t="s">
        <v>207</v>
      </c>
    </row>
    <row r="12" spans="1:16" ht="15.6">
      <c r="A12" s="22">
        <v>10</v>
      </c>
      <c r="B12" s="23" t="s">
        <v>208</v>
      </c>
      <c r="C12" s="23">
        <v>8485054355</v>
      </c>
      <c r="D12" s="22" t="s">
        <v>17</v>
      </c>
      <c r="E12" s="22">
        <v>4</v>
      </c>
      <c r="F12" s="22">
        <v>12150</v>
      </c>
      <c r="G12" s="24">
        <v>0.25</v>
      </c>
      <c r="H12" s="21">
        <v>12150</v>
      </c>
      <c r="I12" s="6">
        <f t="shared" si="0"/>
        <v>0</v>
      </c>
      <c r="J12" s="6"/>
      <c r="K12" s="25"/>
      <c r="L12" s="6"/>
      <c r="M12" s="6" t="s">
        <v>19</v>
      </c>
      <c r="N12" s="6" t="s">
        <v>20</v>
      </c>
      <c r="O12" s="6"/>
      <c r="P12" s="6"/>
    </row>
    <row r="13" spans="1:16" ht="15.6">
      <c r="A13" s="22">
        <v>11</v>
      </c>
      <c r="B13" s="23" t="s">
        <v>209</v>
      </c>
      <c r="C13" s="23">
        <v>8545074211</v>
      </c>
      <c r="D13" s="22" t="s">
        <v>17</v>
      </c>
      <c r="E13" s="22">
        <v>4</v>
      </c>
      <c r="F13" s="22">
        <v>8000</v>
      </c>
      <c r="G13" s="24">
        <v>0.5</v>
      </c>
      <c r="H13" s="21">
        <v>8000</v>
      </c>
      <c r="I13" s="6">
        <f t="shared" si="0"/>
        <v>0</v>
      </c>
      <c r="J13" s="6"/>
      <c r="K13" s="25"/>
      <c r="L13" s="6"/>
      <c r="M13" s="6" t="s">
        <v>199</v>
      </c>
      <c r="N13" s="6" t="s">
        <v>32</v>
      </c>
      <c r="O13" s="21" t="s">
        <v>172</v>
      </c>
      <c r="P13" s="21" t="s">
        <v>64</v>
      </c>
    </row>
    <row r="14" spans="1:16" ht="15.6">
      <c r="A14" s="22">
        <v>12</v>
      </c>
      <c r="B14" s="23" t="s">
        <v>210</v>
      </c>
      <c r="C14" s="23"/>
      <c r="D14" s="22" t="s">
        <v>17</v>
      </c>
      <c r="E14" s="22">
        <v>4</v>
      </c>
      <c r="F14" s="22">
        <v>16200</v>
      </c>
      <c r="G14" s="21" t="s">
        <v>78</v>
      </c>
      <c r="H14" s="21">
        <v>0</v>
      </c>
      <c r="I14" s="6">
        <v>0</v>
      </c>
      <c r="J14" s="6"/>
      <c r="K14" s="25"/>
      <c r="L14" s="6"/>
      <c r="M14" s="6" t="s">
        <v>79</v>
      </c>
      <c r="N14" s="6" t="s">
        <v>80</v>
      </c>
      <c r="O14" s="6"/>
      <c r="P14" s="6"/>
    </row>
    <row r="15" spans="1:16" ht="15.6">
      <c r="A15" s="22">
        <v>13</v>
      </c>
      <c r="B15" s="23" t="s">
        <v>211</v>
      </c>
      <c r="C15" s="23"/>
      <c r="D15" s="22" t="s">
        <v>17</v>
      </c>
      <c r="E15" s="22">
        <v>4</v>
      </c>
      <c r="F15" s="22">
        <v>16200</v>
      </c>
      <c r="G15" s="21" t="s">
        <v>78</v>
      </c>
      <c r="H15" s="21">
        <f>F15</f>
        <v>16200</v>
      </c>
      <c r="I15" s="6">
        <v>0</v>
      </c>
      <c r="J15" s="6"/>
      <c r="K15" s="25"/>
      <c r="L15" s="6"/>
      <c r="M15" s="6"/>
      <c r="N15" s="6"/>
      <c r="O15" s="6"/>
      <c r="P15" s="6"/>
    </row>
    <row r="16" spans="1:16" ht="15.6">
      <c r="A16" s="22">
        <v>14</v>
      </c>
      <c r="B16" s="23" t="s">
        <v>212</v>
      </c>
      <c r="C16" s="23"/>
      <c r="D16" s="22" t="s">
        <v>17</v>
      </c>
      <c r="E16" s="22">
        <v>4</v>
      </c>
      <c r="F16" s="22">
        <v>12200</v>
      </c>
      <c r="G16" s="24" t="s">
        <v>78</v>
      </c>
      <c r="H16" s="21">
        <f>F16</f>
        <v>12200</v>
      </c>
      <c r="I16" s="6">
        <v>0</v>
      </c>
      <c r="J16" s="6"/>
      <c r="K16" s="25"/>
      <c r="L16" s="6"/>
      <c r="M16" s="6"/>
      <c r="N16" s="6"/>
      <c r="O16" s="6"/>
      <c r="P16" s="6"/>
    </row>
    <row r="17" spans="1:16" ht="15.6">
      <c r="A17" s="22">
        <v>15</v>
      </c>
      <c r="B17" s="23" t="s">
        <v>213</v>
      </c>
      <c r="C17" s="23">
        <v>9766444535</v>
      </c>
      <c r="D17" s="22" t="s">
        <v>17</v>
      </c>
      <c r="E17" s="22"/>
      <c r="F17" s="22">
        <v>0</v>
      </c>
      <c r="G17" s="21" t="s">
        <v>22</v>
      </c>
      <c r="H17" s="21">
        <v>0</v>
      </c>
      <c r="I17" s="6">
        <v>0</v>
      </c>
      <c r="J17" s="6"/>
      <c r="K17" s="25"/>
      <c r="L17" s="6"/>
      <c r="M17" s="6" t="s">
        <v>28</v>
      </c>
      <c r="N17" s="6" t="s">
        <v>24</v>
      </c>
      <c r="O17" s="6" t="s">
        <v>214</v>
      </c>
      <c r="P17" s="6" t="s">
        <v>64</v>
      </c>
    </row>
    <row r="18" spans="1:16" ht="18" customHeight="1">
      <c r="A18" s="22">
        <v>16</v>
      </c>
      <c r="B18" s="23" t="s">
        <v>215</v>
      </c>
      <c r="C18" s="23">
        <v>9960184120</v>
      </c>
      <c r="D18" s="22" t="s">
        <v>30</v>
      </c>
      <c r="E18" s="22">
        <v>4</v>
      </c>
      <c r="F18" s="22">
        <v>12200</v>
      </c>
      <c r="G18" s="21" t="s">
        <v>60</v>
      </c>
      <c r="H18" s="21" t="s">
        <v>60</v>
      </c>
      <c r="I18" s="6">
        <v>0</v>
      </c>
      <c r="J18" s="6"/>
      <c r="K18" s="25"/>
      <c r="L18" s="6"/>
      <c r="M18" s="6" t="s">
        <v>54</v>
      </c>
      <c r="N18" s="6" t="s">
        <v>24</v>
      </c>
      <c r="O18" s="6"/>
      <c r="P18" s="6"/>
    </row>
    <row r="19" spans="1:16" ht="19.95" customHeight="1">
      <c r="A19" s="22">
        <v>17</v>
      </c>
      <c r="B19" s="23" t="s">
        <v>216</v>
      </c>
      <c r="C19" s="23"/>
      <c r="D19" s="22" t="s">
        <v>30</v>
      </c>
      <c r="E19" s="22">
        <v>4</v>
      </c>
      <c r="F19" s="22">
        <v>9150</v>
      </c>
      <c r="G19" s="24">
        <v>0.25</v>
      </c>
      <c r="H19" s="21">
        <v>3150</v>
      </c>
      <c r="I19" s="6">
        <f t="shared" si="0"/>
        <v>6000</v>
      </c>
      <c r="J19" s="6"/>
      <c r="K19" s="25"/>
      <c r="L19" s="6"/>
      <c r="M19" s="6" t="s">
        <v>19</v>
      </c>
      <c r="N19" s="6" t="s">
        <v>20</v>
      </c>
      <c r="O19" s="21" t="s">
        <v>217</v>
      </c>
      <c r="P19" s="21" t="s">
        <v>64</v>
      </c>
    </row>
    <row r="20" spans="1:16" ht="16.95" customHeight="1">
      <c r="A20" s="22">
        <v>18</v>
      </c>
      <c r="B20" s="23" t="s">
        <v>218</v>
      </c>
      <c r="C20" s="23">
        <v>973030721</v>
      </c>
      <c r="D20" s="22" t="s">
        <v>30</v>
      </c>
      <c r="E20" s="22">
        <v>4</v>
      </c>
      <c r="F20" s="22">
        <v>12200</v>
      </c>
      <c r="G20" s="24"/>
      <c r="H20" s="21">
        <v>12200</v>
      </c>
      <c r="I20" s="6">
        <f t="shared" si="0"/>
        <v>0</v>
      </c>
      <c r="J20" s="6"/>
      <c r="K20" s="25"/>
      <c r="L20" s="6"/>
      <c r="M20" s="6" t="s">
        <v>28</v>
      </c>
      <c r="N20" s="6" t="s">
        <v>24</v>
      </c>
      <c r="O20" s="21" t="s">
        <v>219</v>
      </c>
      <c r="P20" s="21" t="s">
        <v>64</v>
      </c>
    </row>
    <row r="21" spans="1:16" ht="16.05" customHeight="1">
      <c r="A21" s="22">
        <v>19</v>
      </c>
      <c r="B21" s="23" t="s">
        <v>220</v>
      </c>
      <c r="C21" s="23">
        <v>9823827707</v>
      </c>
      <c r="D21" s="22" t="s">
        <v>30</v>
      </c>
      <c r="E21" s="22">
        <v>4</v>
      </c>
      <c r="F21" s="22">
        <v>9150</v>
      </c>
      <c r="G21" s="24">
        <v>0.25</v>
      </c>
      <c r="H21" s="21">
        <v>0</v>
      </c>
      <c r="I21" s="6">
        <f t="shared" si="0"/>
        <v>9150</v>
      </c>
      <c r="J21" s="6"/>
      <c r="K21" s="25"/>
      <c r="L21" s="6"/>
      <c r="M21" s="6" t="s">
        <v>19</v>
      </c>
      <c r="N21" s="6" t="s">
        <v>32</v>
      </c>
      <c r="O21" s="21" t="s">
        <v>221</v>
      </c>
      <c r="P21" s="21" t="s">
        <v>64</v>
      </c>
    </row>
    <row r="22" spans="1:16" ht="19.95" customHeight="1">
      <c r="A22" s="22">
        <v>20</v>
      </c>
      <c r="B22" s="23" t="s">
        <v>222</v>
      </c>
      <c r="C22" s="23"/>
      <c r="D22" s="22" t="s">
        <v>30</v>
      </c>
      <c r="E22" s="22">
        <v>4</v>
      </c>
      <c r="F22" s="22">
        <v>9150</v>
      </c>
      <c r="G22" s="24">
        <v>0.25</v>
      </c>
      <c r="H22" s="21">
        <v>9150</v>
      </c>
      <c r="I22" s="6">
        <f t="shared" si="0"/>
        <v>0</v>
      </c>
      <c r="J22" s="6"/>
      <c r="K22" s="25"/>
      <c r="L22" s="6"/>
      <c r="M22" s="6" t="s">
        <v>199</v>
      </c>
      <c r="N22" s="6" t="s">
        <v>32</v>
      </c>
      <c r="O22" s="21" t="s">
        <v>172</v>
      </c>
      <c r="P22" s="21" t="s">
        <v>64</v>
      </c>
    </row>
    <row r="23" spans="1:16" ht="19.95" customHeight="1">
      <c r="A23" s="22">
        <v>21</v>
      </c>
      <c r="B23" s="23" t="s">
        <v>223</v>
      </c>
      <c r="C23" s="23"/>
      <c r="D23" s="22" t="s">
        <v>30</v>
      </c>
      <c r="E23" s="22">
        <v>4</v>
      </c>
      <c r="F23" s="22">
        <v>9150</v>
      </c>
      <c r="G23" s="24">
        <v>0.25</v>
      </c>
      <c r="H23" s="21">
        <v>0</v>
      </c>
      <c r="I23" s="6">
        <f t="shared" si="0"/>
        <v>9150</v>
      </c>
      <c r="J23" s="6"/>
      <c r="K23" s="25"/>
      <c r="L23" s="6"/>
      <c r="M23" s="6" t="s">
        <v>19</v>
      </c>
      <c r="N23" s="6" t="s">
        <v>20</v>
      </c>
      <c r="O23" s="21" t="s">
        <v>166</v>
      </c>
      <c r="P23" s="21" t="s">
        <v>64</v>
      </c>
    </row>
    <row r="24" spans="1:16" ht="19.95" customHeight="1">
      <c r="A24" s="22">
        <v>22</v>
      </c>
      <c r="B24" s="23" t="s">
        <v>224</v>
      </c>
      <c r="C24" s="23"/>
      <c r="D24" s="22" t="s">
        <v>30</v>
      </c>
      <c r="E24" s="22">
        <v>4</v>
      </c>
      <c r="F24" s="22">
        <v>9150</v>
      </c>
      <c r="G24" s="24">
        <v>0.25</v>
      </c>
      <c r="H24" s="21">
        <v>9150</v>
      </c>
      <c r="I24" s="6">
        <f t="shared" si="0"/>
        <v>0</v>
      </c>
      <c r="J24" s="6"/>
      <c r="K24" s="25"/>
      <c r="L24" s="6"/>
      <c r="M24" s="6" t="s">
        <v>19</v>
      </c>
      <c r="N24" s="6" t="s">
        <v>20</v>
      </c>
      <c r="O24" s="21" t="s">
        <v>217</v>
      </c>
      <c r="P24" s="21" t="s">
        <v>64</v>
      </c>
    </row>
    <row r="25" spans="1:16" ht="19.95" customHeight="1">
      <c r="A25" s="22">
        <v>23</v>
      </c>
      <c r="B25" s="23" t="s">
        <v>225</v>
      </c>
      <c r="C25" s="23"/>
      <c r="D25" s="22" t="s">
        <v>30</v>
      </c>
      <c r="E25" s="22">
        <v>4</v>
      </c>
      <c r="F25" s="22">
        <v>12200</v>
      </c>
      <c r="G25" s="21"/>
      <c r="H25" s="21">
        <v>8200</v>
      </c>
      <c r="I25" s="6">
        <f t="shared" si="0"/>
        <v>4000</v>
      </c>
      <c r="J25" s="6"/>
      <c r="K25" s="25"/>
      <c r="L25" s="6"/>
      <c r="M25" s="6" t="s">
        <v>226</v>
      </c>
      <c r="N25" s="6" t="s">
        <v>49</v>
      </c>
      <c r="O25" s="21" t="s">
        <v>25</v>
      </c>
      <c r="P25" s="21" t="s">
        <v>227</v>
      </c>
    </row>
    <row r="26" spans="1:16" ht="15.6">
      <c r="A26" s="22">
        <v>24</v>
      </c>
      <c r="B26" s="23" t="s">
        <v>228</v>
      </c>
      <c r="C26" s="23"/>
      <c r="D26" s="22" t="s">
        <v>30</v>
      </c>
      <c r="E26" s="22">
        <v>4</v>
      </c>
      <c r="F26" s="22">
        <v>9150</v>
      </c>
      <c r="G26" s="24">
        <v>0.25</v>
      </c>
      <c r="H26" s="21">
        <v>4100</v>
      </c>
      <c r="I26" s="6">
        <f t="shared" si="0"/>
        <v>5050</v>
      </c>
      <c r="J26" s="6"/>
      <c r="K26" s="6"/>
      <c r="L26" s="6"/>
      <c r="M26" s="6" t="s">
        <v>19</v>
      </c>
      <c r="N26" s="6" t="s">
        <v>20</v>
      </c>
      <c r="O26" s="21" t="s">
        <v>183</v>
      </c>
      <c r="P26" s="21" t="s">
        <v>183</v>
      </c>
    </row>
    <row r="27" spans="1:16" ht="15.6">
      <c r="A27" s="22">
        <v>25</v>
      </c>
      <c r="B27" s="23" t="s">
        <v>229</v>
      </c>
      <c r="C27" s="23">
        <v>7709642604</v>
      </c>
      <c r="D27" s="22" t="s">
        <v>30</v>
      </c>
      <c r="E27" s="22">
        <v>4</v>
      </c>
      <c r="F27" s="22">
        <v>11000</v>
      </c>
      <c r="G27" s="21" t="s">
        <v>230</v>
      </c>
      <c r="H27" s="21">
        <v>11000</v>
      </c>
      <c r="I27" s="6">
        <f t="shared" si="0"/>
        <v>0</v>
      </c>
      <c r="J27" s="6"/>
      <c r="K27" s="6"/>
      <c r="L27" s="6"/>
      <c r="M27" s="6" t="s">
        <v>96</v>
      </c>
      <c r="N27" s="6" t="s">
        <v>24</v>
      </c>
      <c r="O27" s="6" t="s">
        <v>33</v>
      </c>
      <c r="P27" s="6" t="s">
        <v>64</v>
      </c>
    </row>
    <row r="28" spans="1:16" ht="15.6">
      <c r="A28" s="22">
        <v>26</v>
      </c>
      <c r="B28" s="23" t="s">
        <v>231</v>
      </c>
      <c r="C28" s="23">
        <v>8788402403</v>
      </c>
      <c r="D28" s="22" t="s">
        <v>30</v>
      </c>
      <c r="E28" s="22">
        <v>4</v>
      </c>
      <c r="F28" s="22">
        <v>10000</v>
      </c>
      <c r="G28" s="21" t="s">
        <v>230</v>
      </c>
      <c r="H28" s="21">
        <v>10000</v>
      </c>
      <c r="I28" s="6">
        <f t="shared" si="0"/>
        <v>0</v>
      </c>
      <c r="J28" s="6"/>
      <c r="K28" s="6"/>
      <c r="L28" s="6"/>
      <c r="M28" s="6" t="s">
        <v>118</v>
      </c>
      <c r="N28" s="6" t="s">
        <v>119</v>
      </c>
      <c r="O28" s="6"/>
      <c r="P28" s="6"/>
    </row>
    <row r="29" spans="1:16" ht="15.6">
      <c r="A29" s="22">
        <v>27</v>
      </c>
      <c r="B29" s="23" t="s">
        <v>232</v>
      </c>
      <c r="C29" s="23"/>
      <c r="D29" s="22" t="s">
        <v>30</v>
      </c>
      <c r="E29" s="22">
        <v>4</v>
      </c>
      <c r="F29" s="22">
        <v>12200</v>
      </c>
      <c r="G29" s="21"/>
      <c r="H29" s="21">
        <v>0</v>
      </c>
      <c r="I29" s="6">
        <f t="shared" si="0"/>
        <v>12200</v>
      </c>
      <c r="J29" s="6"/>
      <c r="K29" s="6"/>
      <c r="L29" s="6"/>
      <c r="M29" s="6" t="s">
        <v>54</v>
      </c>
      <c r="N29" s="6" t="s">
        <v>24</v>
      </c>
      <c r="O29" s="6" t="s">
        <v>33</v>
      </c>
      <c r="P29" s="6" t="s">
        <v>33</v>
      </c>
    </row>
    <row r="30" spans="1:16" ht="15.6">
      <c r="A30" s="22">
        <v>28</v>
      </c>
      <c r="B30" s="23" t="s">
        <v>233</v>
      </c>
      <c r="C30" s="23"/>
      <c r="D30" s="22" t="s">
        <v>30</v>
      </c>
      <c r="E30" s="22">
        <v>4</v>
      </c>
      <c r="F30" s="22">
        <v>9150</v>
      </c>
      <c r="G30" s="24">
        <v>0.25</v>
      </c>
      <c r="H30" s="21">
        <v>6100</v>
      </c>
      <c r="I30" s="6">
        <f t="shared" si="0"/>
        <v>3050</v>
      </c>
      <c r="J30" s="6"/>
      <c r="K30" s="6"/>
      <c r="L30" s="6"/>
      <c r="M30" s="6" t="s">
        <v>54</v>
      </c>
      <c r="N30" s="6" t="s">
        <v>24</v>
      </c>
      <c r="O30" s="6"/>
      <c r="P30" s="6"/>
    </row>
    <row r="31" spans="1:16" ht="15.6">
      <c r="A31" s="22">
        <v>29</v>
      </c>
      <c r="B31" s="26" t="s">
        <v>234</v>
      </c>
      <c r="C31" s="23">
        <v>7822936079</v>
      </c>
      <c r="D31" s="22" t="s">
        <v>30</v>
      </c>
      <c r="E31" s="22">
        <v>4</v>
      </c>
      <c r="F31" s="22">
        <v>0</v>
      </c>
      <c r="G31" s="21" t="s">
        <v>51</v>
      </c>
      <c r="H31" s="21">
        <v>0</v>
      </c>
      <c r="I31" s="6">
        <v>0</v>
      </c>
      <c r="J31" s="6"/>
      <c r="K31" s="6"/>
      <c r="L31" s="6"/>
      <c r="M31" s="6" t="s">
        <v>118</v>
      </c>
      <c r="N31" s="6" t="s">
        <v>119</v>
      </c>
      <c r="O31" s="6" t="s">
        <v>33</v>
      </c>
      <c r="P31" s="6" t="s">
        <v>33</v>
      </c>
    </row>
    <row r="32" spans="1:16" ht="15.6">
      <c r="A32" s="6"/>
      <c r="B32" s="6"/>
      <c r="C32" s="6"/>
      <c r="D32" s="6"/>
      <c r="E32" s="6"/>
      <c r="F32" s="12">
        <f>SUM(F3:F31)</f>
        <v>344400</v>
      </c>
      <c r="G32" s="12"/>
      <c r="H32" s="12">
        <f t="shared" ref="H32" si="1">SUM(H3:H31)</f>
        <v>175200</v>
      </c>
      <c r="I32" s="12">
        <f>F32-H32</f>
        <v>169200</v>
      </c>
      <c r="J32" s="6"/>
      <c r="K32" s="6"/>
      <c r="L32" s="6"/>
      <c r="M32" s="6"/>
      <c r="N32" s="6"/>
      <c r="O32" s="6"/>
      <c r="P32" s="6"/>
    </row>
    <row r="33" spans="8:9">
      <c r="I33" s="13"/>
    </row>
    <row r="35" spans="8:9">
      <c r="H35" s="1">
        <f>H32/F32*100</f>
        <v>50.871080139372829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P31"/>
  <sheetViews>
    <sheetView topLeftCell="A11" zoomScale="80" workbookViewId="0">
      <selection activeCell="B37" sqref="B37"/>
    </sheetView>
  </sheetViews>
  <sheetFormatPr defaultColWidth="16.21875" defaultRowHeight="18"/>
  <cols>
    <col min="1" max="1" width="16.21875" style="33"/>
    <col min="2" max="2" width="33.21875" style="33" customWidth="1"/>
    <col min="3" max="16384" width="16.21875" style="33"/>
  </cols>
  <sheetData>
    <row r="1" spans="1:16">
      <c r="H1" s="34" t="s">
        <v>0</v>
      </c>
      <c r="I1" s="34"/>
    </row>
    <row r="2" spans="1:16">
      <c r="A2" s="34" t="s">
        <v>1</v>
      </c>
      <c r="B2" s="34" t="s">
        <v>2</v>
      </c>
      <c r="C2" s="34"/>
      <c r="D2" s="34" t="s">
        <v>3</v>
      </c>
      <c r="E2" s="34" t="s">
        <v>4</v>
      </c>
      <c r="F2" s="34" t="s">
        <v>5</v>
      </c>
      <c r="G2" s="34" t="s">
        <v>6</v>
      </c>
      <c r="H2" s="34" t="s">
        <v>7</v>
      </c>
      <c r="I2" s="34" t="s">
        <v>8</v>
      </c>
      <c r="J2" s="34" t="s">
        <v>9</v>
      </c>
      <c r="K2" s="34" t="s">
        <v>10</v>
      </c>
      <c r="L2" s="34" t="s">
        <v>11</v>
      </c>
      <c r="M2" s="34" t="s">
        <v>12</v>
      </c>
      <c r="N2" s="34" t="s">
        <v>13</v>
      </c>
      <c r="O2" s="35" t="s">
        <v>14</v>
      </c>
      <c r="P2" s="35" t="s">
        <v>15</v>
      </c>
    </row>
    <row r="3" spans="1:16" s="44" customFormat="1">
      <c r="A3" s="44">
        <v>1</v>
      </c>
      <c r="B3" s="45" t="s">
        <v>235</v>
      </c>
      <c r="C3" s="45">
        <v>9011207075</v>
      </c>
      <c r="D3" s="44" t="s">
        <v>17</v>
      </c>
      <c r="E3" s="44">
        <v>5</v>
      </c>
      <c r="F3" s="44">
        <v>16200</v>
      </c>
      <c r="H3" s="44">
        <v>16200</v>
      </c>
      <c r="I3" s="44">
        <f>F3-H3</f>
        <v>0</v>
      </c>
      <c r="M3" s="44" t="s">
        <v>96</v>
      </c>
      <c r="N3" s="33" t="s">
        <v>24</v>
      </c>
      <c r="O3" s="36" t="s">
        <v>236</v>
      </c>
      <c r="P3" s="36" t="s">
        <v>26</v>
      </c>
    </row>
    <row r="4" spans="1:16" s="44" customFormat="1">
      <c r="A4" s="44">
        <v>2</v>
      </c>
      <c r="B4" s="45" t="s">
        <v>237</v>
      </c>
      <c r="C4" s="45"/>
      <c r="D4" s="44" t="s">
        <v>17</v>
      </c>
      <c r="E4" s="44">
        <v>5</v>
      </c>
      <c r="F4" s="44">
        <v>16200</v>
      </c>
      <c r="G4" s="44" t="s">
        <v>60</v>
      </c>
      <c r="H4" s="44" t="s">
        <v>60</v>
      </c>
      <c r="I4" s="44">
        <v>0</v>
      </c>
      <c r="M4" s="44" t="s">
        <v>79</v>
      </c>
      <c r="N4" s="44" t="s">
        <v>80</v>
      </c>
      <c r="O4" s="36"/>
      <c r="P4" s="36" t="s">
        <v>238</v>
      </c>
    </row>
    <row r="5" spans="1:16" s="44" customFormat="1" ht="21" customHeight="1">
      <c r="A5" s="44">
        <v>3</v>
      </c>
      <c r="B5" s="45" t="s">
        <v>239</v>
      </c>
      <c r="C5" s="45">
        <v>7058917659</v>
      </c>
      <c r="D5" s="44" t="s">
        <v>17</v>
      </c>
      <c r="E5" s="44">
        <v>5</v>
      </c>
      <c r="F5" s="44">
        <v>16200</v>
      </c>
      <c r="H5" s="44">
        <v>10000</v>
      </c>
      <c r="I5" s="44">
        <f t="shared" ref="I5:I25" si="0">F5-H5</f>
        <v>6200</v>
      </c>
      <c r="M5" s="44" t="s">
        <v>28</v>
      </c>
      <c r="N5" s="44" t="s">
        <v>24</v>
      </c>
      <c r="O5" s="36" t="s">
        <v>240</v>
      </c>
      <c r="P5" s="36" t="s">
        <v>241</v>
      </c>
    </row>
    <row r="6" spans="1:16" s="44" customFormat="1">
      <c r="A6" s="44">
        <v>4</v>
      </c>
      <c r="B6" s="45" t="s">
        <v>242</v>
      </c>
      <c r="C6" s="45">
        <v>9284021415</v>
      </c>
      <c r="D6" s="44" t="s">
        <v>17</v>
      </c>
      <c r="E6" s="44">
        <v>5</v>
      </c>
      <c r="F6" s="44">
        <v>16200</v>
      </c>
      <c r="G6" s="44" t="s">
        <v>60</v>
      </c>
      <c r="H6" s="44" t="s">
        <v>60</v>
      </c>
      <c r="I6" s="44">
        <v>0</v>
      </c>
      <c r="M6" s="44" t="s">
        <v>28</v>
      </c>
      <c r="N6" s="44" t="s">
        <v>24</v>
      </c>
      <c r="O6" s="36" t="s">
        <v>243</v>
      </c>
      <c r="P6" s="36" t="s">
        <v>244</v>
      </c>
    </row>
    <row r="7" spans="1:16" s="44" customFormat="1">
      <c r="A7" s="44">
        <v>5</v>
      </c>
      <c r="B7" s="45" t="s">
        <v>245</v>
      </c>
      <c r="C7" s="45">
        <v>8830370325</v>
      </c>
      <c r="D7" s="44" t="s">
        <v>17</v>
      </c>
      <c r="E7" s="44">
        <v>5</v>
      </c>
      <c r="F7" s="44">
        <f>16200-4050</f>
        <v>12150</v>
      </c>
      <c r="G7" s="46">
        <v>0.25</v>
      </c>
      <c r="H7" s="44">
        <v>12150</v>
      </c>
      <c r="I7" s="44">
        <f t="shared" si="0"/>
        <v>0</v>
      </c>
      <c r="M7" s="44" t="s">
        <v>19</v>
      </c>
      <c r="N7" s="44" t="s">
        <v>20</v>
      </c>
      <c r="O7" s="47" t="s">
        <v>246</v>
      </c>
      <c r="P7" s="47" t="s">
        <v>26</v>
      </c>
    </row>
    <row r="8" spans="1:16" s="44" customFormat="1">
      <c r="A8" s="44">
        <v>6</v>
      </c>
      <c r="B8" s="45" t="s">
        <v>247</v>
      </c>
      <c r="C8" s="45">
        <v>8208951515</v>
      </c>
      <c r="D8" s="44" t="s">
        <v>17</v>
      </c>
      <c r="E8" s="44">
        <v>5</v>
      </c>
      <c r="F8" s="44">
        <v>16200</v>
      </c>
      <c r="G8" s="44" t="s">
        <v>60</v>
      </c>
      <c r="H8" s="44" t="s">
        <v>60</v>
      </c>
      <c r="I8" s="44">
        <v>0</v>
      </c>
      <c r="M8" s="44" t="s">
        <v>19</v>
      </c>
      <c r="N8" s="44" t="s">
        <v>20</v>
      </c>
      <c r="O8" s="36" t="s">
        <v>248</v>
      </c>
      <c r="P8" s="36" t="s">
        <v>249</v>
      </c>
    </row>
    <row r="9" spans="1:16" s="44" customFormat="1">
      <c r="A9" s="44">
        <v>7</v>
      </c>
      <c r="B9" s="45" t="s">
        <v>250</v>
      </c>
      <c r="C9" s="45"/>
      <c r="D9" s="44" t="s">
        <v>17</v>
      </c>
      <c r="E9" s="44">
        <v>5</v>
      </c>
      <c r="F9" s="44">
        <v>16200</v>
      </c>
      <c r="G9" s="44" t="s">
        <v>78</v>
      </c>
      <c r="H9" s="44">
        <f>F9</f>
        <v>16200</v>
      </c>
      <c r="I9" s="44">
        <v>0</v>
      </c>
      <c r="M9" s="44" t="s">
        <v>79</v>
      </c>
      <c r="N9" s="44" t="s">
        <v>80</v>
      </c>
    </row>
    <row r="10" spans="1:16" s="44" customFormat="1" ht="19.95" customHeight="1">
      <c r="A10" s="44">
        <v>8</v>
      </c>
      <c r="B10" s="45" t="s">
        <v>251</v>
      </c>
      <c r="C10" s="45">
        <v>8329205155</v>
      </c>
      <c r="D10" s="44" t="s">
        <v>17</v>
      </c>
      <c r="E10" s="44">
        <v>5</v>
      </c>
      <c r="F10" s="44">
        <v>12200</v>
      </c>
      <c r="G10" s="46">
        <v>0.25</v>
      </c>
      <c r="H10" s="44">
        <v>12200</v>
      </c>
      <c r="I10" s="44">
        <f t="shared" si="0"/>
        <v>0</v>
      </c>
      <c r="M10" s="44" t="s">
        <v>23</v>
      </c>
      <c r="N10" s="44" t="s">
        <v>24</v>
      </c>
      <c r="O10" s="36" t="s">
        <v>252</v>
      </c>
      <c r="P10" s="36" t="s">
        <v>26</v>
      </c>
    </row>
    <row r="11" spans="1:16" s="44" customFormat="1">
      <c r="A11" s="44">
        <v>9</v>
      </c>
      <c r="B11" s="45" t="s">
        <v>253</v>
      </c>
      <c r="C11" s="45"/>
      <c r="D11" s="44" t="s">
        <v>17</v>
      </c>
      <c r="E11" s="44">
        <v>5</v>
      </c>
      <c r="F11" s="44">
        <v>16200</v>
      </c>
      <c r="G11" s="44" t="s">
        <v>78</v>
      </c>
      <c r="H11" s="44">
        <f>F11</f>
        <v>16200</v>
      </c>
      <c r="I11" s="44">
        <v>0</v>
      </c>
      <c r="M11" s="44" t="s">
        <v>79</v>
      </c>
      <c r="N11" s="44" t="s">
        <v>80</v>
      </c>
      <c r="O11" s="36" t="s">
        <v>78</v>
      </c>
      <c r="P11" s="36"/>
    </row>
    <row r="12" spans="1:16" s="44" customFormat="1">
      <c r="A12" s="44">
        <v>10</v>
      </c>
      <c r="B12" s="45" t="s">
        <v>254</v>
      </c>
      <c r="C12" s="45"/>
      <c r="D12" s="44" t="s">
        <v>17</v>
      </c>
      <c r="E12" s="44">
        <v>5</v>
      </c>
      <c r="F12" s="44">
        <v>16200</v>
      </c>
      <c r="G12" s="44" t="s">
        <v>78</v>
      </c>
      <c r="H12" s="44">
        <f>F12</f>
        <v>16200</v>
      </c>
      <c r="I12" s="44">
        <v>0</v>
      </c>
      <c r="M12" s="44" t="s">
        <v>79</v>
      </c>
      <c r="N12" s="44" t="s">
        <v>80</v>
      </c>
      <c r="O12" s="36" t="s">
        <v>255</v>
      </c>
      <c r="P12" s="36"/>
    </row>
    <row r="13" spans="1:16" s="44" customFormat="1">
      <c r="A13" s="44">
        <v>11</v>
      </c>
      <c r="B13" s="45" t="s">
        <v>256</v>
      </c>
      <c r="C13" s="45">
        <v>9960754243</v>
      </c>
      <c r="D13" s="44" t="s">
        <v>17</v>
      </c>
      <c r="E13" s="44">
        <v>5</v>
      </c>
      <c r="F13" s="44">
        <v>0</v>
      </c>
      <c r="G13" s="44" t="s">
        <v>257</v>
      </c>
      <c r="H13" s="44">
        <v>0</v>
      </c>
      <c r="I13" s="44">
        <v>0</v>
      </c>
      <c r="M13" s="44" t="s">
        <v>19</v>
      </c>
      <c r="N13" s="44" t="s">
        <v>20</v>
      </c>
      <c r="O13" s="44" t="s">
        <v>33</v>
      </c>
      <c r="P13" s="44" t="s">
        <v>26</v>
      </c>
    </row>
    <row r="14" spans="1:16" s="44" customFormat="1">
      <c r="A14" s="44">
        <v>12</v>
      </c>
      <c r="B14" s="45" t="s">
        <v>258</v>
      </c>
      <c r="C14" s="45">
        <v>9373841039</v>
      </c>
      <c r="D14" s="44" t="s">
        <v>17</v>
      </c>
      <c r="E14" s="44">
        <v>5</v>
      </c>
      <c r="F14" s="44">
        <v>0</v>
      </c>
      <c r="G14" s="44" t="s">
        <v>257</v>
      </c>
      <c r="H14" s="44">
        <v>0</v>
      </c>
      <c r="I14" s="44">
        <v>0</v>
      </c>
      <c r="M14" s="44" t="s">
        <v>118</v>
      </c>
      <c r="N14" s="44" t="s">
        <v>119</v>
      </c>
      <c r="O14" s="44" t="s">
        <v>33</v>
      </c>
      <c r="P14" s="44" t="s">
        <v>33</v>
      </c>
    </row>
    <row r="15" spans="1:16" s="44" customFormat="1" ht="28.8" customHeight="1">
      <c r="A15" s="44">
        <v>13</v>
      </c>
      <c r="B15" s="45" t="s">
        <v>259</v>
      </c>
      <c r="C15" s="45">
        <v>9096462142</v>
      </c>
      <c r="D15" s="44" t="s">
        <v>17</v>
      </c>
      <c r="E15" s="44">
        <v>5</v>
      </c>
      <c r="F15" s="44">
        <v>15000</v>
      </c>
      <c r="H15" s="44">
        <v>15000</v>
      </c>
      <c r="I15" s="44">
        <f t="shared" si="0"/>
        <v>0</v>
      </c>
      <c r="M15" s="44" t="s">
        <v>96</v>
      </c>
      <c r="N15" s="44" t="s">
        <v>24</v>
      </c>
      <c r="O15" s="44" t="s">
        <v>33</v>
      </c>
      <c r="P15" s="44" t="s">
        <v>26</v>
      </c>
    </row>
    <row r="16" spans="1:16" s="44" customFormat="1">
      <c r="A16" s="44">
        <v>14</v>
      </c>
      <c r="B16" s="45" t="s">
        <v>260</v>
      </c>
      <c r="C16" s="45"/>
      <c r="D16" s="44" t="s">
        <v>17</v>
      </c>
      <c r="E16" s="44">
        <v>5</v>
      </c>
      <c r="F16" s="44">
        <v>16200</v>
      </c>
      <c r="G16" s="44" t="s">
        <v>78</v>
      </c>
      <c r="H16" s="44">
        <f>F16</f>
        <v>16200</v>
      </c>
      <c r="I16" s="44">
        <v>0</v>
      </c>
      <c r="M16" s="44" t="s">
        <v>79</v>
      </c>
      <c r="N16" s="44" t="s">
        <v>80</v>
      </c>
      <c r="O16" s="44" t="s">
        <v>33</v>
      </c>
      <c r="P16" s="44" t="s">
        <v>26</v>
      </c>
    </row>
    <row r="17" spans="1:16" s="44" customFormat="1">
      <c r="A17" s="44">
        <v>15</v>
      </c>
      <c r="B17" s="45" t="s">
        <v>261</v>
      </c>
      <c r="C17" s="45"/>
      <c r="D17" s="44" t="s">
        <v>17</v>
      </c>
      <c r="E17" s="44">
        <v>5</v>
      </c>
      <c r="F17" s="44">
        <v>16200</v>
      </c>
      <c r="G17" s="44" t="s">
        <v>257</v>
      </c>
      <c r="H17" s="44">
        <v>0</v>
      </c>
      <c r="I17" s="44">
        <v>0</v>
      </c>
      <c r="M17" s="44" t="s">
        <v>262</v>
      </c>
      <c r="N17" s="44" t="s">
        <v>49</v>
      </c>
      <c r="O17" s="44" t="s">
        <v>114</v>
      </c>
      <c r="P17" s="44" t="s">
        <v>26</v>
      </c>
    </row>
    <row r="18" spans="1:16" s="44" customFormat="1">
      <c r="A18" s="44">
        <v>16</v>
      </c>
      <c r="B18" s="45" t="s">
        <v>263</v>
      </c>
      <c r="C18" s="45">
        <v>7620332002</v>
      </c>
      <c r="D18" s="44" t="s">
        <v>30</v>
      </c>
      <c r="E18" s="44">
        <v>5</v>
      </c>
      <c r="F18" s="44">
        <v>12200</v>
      </c>
      <c r="H18" s="44">
        <v>10000</v>
      </c>
      <c r="I18" s="44">
        <f t="shared" si="0"/>
        <v>2200</v>
      </c>
      <c r="M18" s="44" t="s">
        <v>28</v>
      </c>
      <c r="N18" s="44" t="s">
        <v>24</v>
      </c>
      <c r="O18" s="44" t="s">
        <v>264</v>
      </c>
      <c r="P18" s="44" t="s">
        <v>43</v>
      </c>
    </row>
    <row r="19" spans="1:16" s="44" customFormat="1" ht="19.05" customHeight="1">
      <c r="A19" s="44">
        <v>17</v>
      </c>
      <c r="B19" s="45" t="s">
        <v>265</v>
      </c>
      <c r="C19" s="45"/>
      <c r="D19" s="44" t="s">
        <v>30</v>
      </c>
      <c r="E19" s="44">
        <v>5</v>
      </c>
      <c r="F19" s="44">
        <v>9150</v>
      </c>
      <c r="H19" s="44">
        <v>3000</v>
      </c>
      <c r="I19" s="44">
        <f t="shared" si="0"/>
        <v>6150</v>
      </c>
      <c r="M19" s="44" t="s">
        <v>23</v>
      </c>
      <c r="N19" s="44" t="s">
        <v>24</v>
      </c>
      <c r="O19" s="44" t="s">
        <v>266</v>
      </c>
      <c r="P19" s="44" t="s">
        <v>26</v>
      </c>
    </row>
    <row r="20" spans="1:16" s="44" customFormat="1">
      <c r="A20" s="44">
        <v>18</v>
      </c>
      <c r="B20" s="45" t="s">
        <v>267</v>
      </c>
      <c r="C20" s="45">
        <v>9075430863</v>
      </c>
      <c r="D20" s="44" t="s">
        <v>30</v>
      </c>
      <c r="E20" s="44">
        <v>5</v>
      </c>
      <c r="F20" s="44">
        <v>12200</v>
      </c>
      <c r="H20" s="44">
        <v>10000</v>
      </c>
      <c r="I20" s="44">
        <f t="shared" si="0"/>
        <v>2200</v>
      </c>
      <c r="M20" s="44" t="s">
        <v>54</v>
      </c>
      <c r="N20" s="44" t="s">
        <v>24</v>
      </c>
      <c r="P20" s="44" t="s">
        <v>268</v>
      </c>
    </row>
    <row r="21" spans="1:16" s="44" customFormat="1">
      <c r="A21" s="44">
        <v>19</v>
      </c>
      <c r="B21" s="45" t="s">
        <v>269</v>
      </c>
      <c r="C21" s="45">
        <v>9730448092</v>
      </c>
      <c r="D21" s="44" t="s">
        <v>30</v>
      </c>
      <c r="E21" s="44">
        <v>5</v>
      </c>
      <c r="F21" s="44">
        <v>12200</v>
      </c>
      <c r="H21" s="44">
        <v>3000</v>
      </c>
      <c r="I21" s="44">
        <f t="shared" si="0"/>
        <v>9200</v>
      </c>
      <c r="M21" s="44" t="s">
        <v>19</v>
      </c>
      <c r="N21" s="44" t="s">
        <v>20</v>
      </c>
      <c r="O21" s="44" t="s">
        <v>270</v>
      </c>
      <c r="P21" s="44" t="s">
        <v>26</v>
      </c>
    </row>
    <row r="22" spans="1:16" s="44" customFormat="1" ht="21" customHeight="1">
      <c r="A22" s="44">
        <v>20</v>
      </c>
      <c r="B22" s="45" t="s">
        <v>271</v>
      </c>
      <c r="C22" s="45"/>
      <c r="D22" s="44" t="s">
        <v>30</v>
      </c>
      <c r="E22" s="44">
        <v>5</v>
      </c>
      <c r="F22" s="44">
        <v>0</v>
      </c>
      <c r="G22" s="44" t="s">
        <v>257</v>
      </c>
      <c r="H22" s="44">
        <v>0</v>
      </c>
      <c r="I22" s="44">
        <v>0</v>
      </c>
      <c r="M22" s="44" t="s">
        <v>28</v>
      </c>
      <c r="N22" s="44" t="s">
        <v>24</v>
      </c>
      <c r="O22" s="44" t="s">
        <v>270</v>
      </c>
      <c r="P22" s="44" t="s">
        <v>26</v>
      </c>
    </row>
    <row r="23" spans="1:16" s="44" customFormat="1">
      <c r="A23" s="44">
        <v>21</v>
      </c>
      <c r="B23" s="45" t="s">
        <v>272</v>
      </c>
      <c r="C23" s="45">
        <v>9665580302</v>
      </c>
      <c r="D23" s="44" t="s">
        <v>30</v>
      </c>
      <c r="E23" s="44">
        <v>5</v>
      </c>
      <c r="F23" s="44">
        <v>9150</v>
      </c>
      <c r="H23" s="44">
        <v>9150</v>
      </c>
      <c r="I23" s="44">
        <f t="shared" si="0"/>
        <v>0</v>
      </c>
      <c r="M23" s="44" t="s">
        <v>19</v>
      </c>
      <c r="N23" s="44" t="s">
        <v>20</v>
      </c>
      <c r="O23" s="36" t="s">
        <v>273</v>
      </c>
      <c r="P23" s="36" t="s">
        <v>26</v>
      </c>
    </row>
    <row r="24" spans="1:16" s="44" customFormat="1" ht="16.05" customHeight="1">
      <c r="A24" s="44">
        <v>22</v>
      </c>
      <c r="B24" s="45" t="s">
        <v>274</v>
      </c>
      <c r="C24" s="45">
        <v>7499326168</v>
      </c>
      <c r="D24" s="44" t="s">
        <v>30</v>
      </c>
      <c r="E24" s="44">
        <v>5</v>
      </c>
      <c r="F24" s="44">
        <v>11200</v>
      </c>
      <c r="H24" s="44">
        <v>11200</v>
      </c>
      <c r="I24" s="44">
        <f t="shared" si="0"/>
        <v>0</v>
      </c>
      <c r="M24" s="44" t="s">
        <v>96</v>
      </c>
      <c r="N24" s="44" t="s">
        <v>24</v>
      </c>
      <c r="O24" s="44" t="s">
        <v>33</v>
      </c>
      <c r="P24" s="44" t="s">
        <v>26</v>
      </c>
    </row>
    <row r="25" spans="1:16" s="44" customFormat="1">
      <c r="A25" s="44">
        <v>23</v>
      </c>
      <c r="B25" s="45" t="s">
        <v>275</v>
      </c>
      <c r="C25" s="45">
        <v>9696064393</v>
      </c>
      <c r="D25" s="44" t="s">
        <v>30</v>
      </c>
      <c r="E25" s="44">
        <v>5</v>
      </c>
      <c r="F25" s="44">
        <v>11000</v>
      </c>
      <c r="H25" s="44">
        <v>11000</v>
      </c>
      <c r="I25" s="44">
        <f t="shared" si="0"/>
        <v>0</v>
      </c>
      <c r="M25" s="44" t="s">
        <v>96</v>
      </c>
      <c r="N25" s="44" t="s">
        <v>24</v>
      </c>
      <c r="O25" s="44" t="s">
        <v>33</v>
      </c>
      <c r="P25" s="44" t="s">
        <v>26</v>
      </c>
    </row>
    <row r="26" spans="1:16" s="44" customFormat="1">
      <c r="A26" s="44">
        <v>24</v>
      </c>
      <c r="B26" s="45" t="s">
        <v>276</v>
      </c>
      <c r="C26" s="45"/>
      <c r="D26" s="44" t="s">
        <v>30</v>
      </c>
      <c r="E26" s="44">
        <v>5</v>
      </c>
      <c r="F26" s="44">
        <v>0</v>
      </c>
      <c r="G26" s="44" t="s">
        <v>257</v>
      </c>
      <c r="H26" s="44">
        <v>0</v>
      </c>
      <c r="I26" s="44">
        <v>0</v>
      </c>
      <c r="M26" s="44" t="s">
        <v>19</v>
      </c>
      <c r="N26" s="44" t="s">
        <v>20</v>
      </c>
      <c r="O26" s="44" t="s">
        <v>25</v>
      </c>
      <c r="P26" s="44" t="s">
        <v>26</v>
      </c>
    </row>
    <row r="27" spans="1:16" s="44" customFormat="1" ht="21" customHeight="1">
      <c r="A27" s="44">
        <v>25</v>
      </c>
      <c r="B27" s="45" t="s">
        <v>277</v>
      </c>
      <c r="C27" s="45">
        <v>9766444535</v>
      </c>
      <c r="D27" s="44" t="s">
        <v>30</v>
      </c>
      <c r="E27" s="44">
        <v>5</v>
      </c>
      <c r="F27" s="44">
        <v>0</v>
      </c>
      <c r="G27" s="44" t="s">
        <v>257</v>
      </c>
      <c r="H27" s="44">
        <v>0</v>
      </c>
      <c r="I27" s="44">
        <v>0</v>
      </c>
      <c r="M27" s="44" t="s">
        <v>28</v>
      </c>
      <c r="N27" s="44" t="s">
        <v>24</v>
      </c>
      <c r="O27" s="44" t="s">
        <v>278</v>
      </c>
      <c r="P27" s="44" t="s">
        <v>26</v>
      </c>
    </row>
    <row r="28" spans="1:16" s="44" customFormat="1">
      <c r="F28" s="48">
        <f>SUM(F3:F27)</f>
        <v>278450</v>
      </c>
      <c r="G28" s="48"/>
      <c r="H28" s="48">
        <f t="shared" ref="H28" si="1">SUM(H3:H27)</f>
        <v>187700</v>
      </c>
      <c r="I28" s="49">
        <f>F28-H28</f>
        <v>90750</v>
      </c>
    </row>
    <row r="29" spans="1:16" s="44" customFormat="1">
      <c r="G29" s="50"/>
    </row>
    <row r="30" spans="1:16">
      <c r="I30" s="34">
        <f>H28/F28*100</f>
        <v>67.408870533309397</v>
      </c>
    </row>
    <row r="31" spans="1:16" s="34" customFormat="1">
      <c r="B31" s="34" t="s">
        <v>361</v>
      </c>
      <c r="E31" s="34">
        <v>8000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1"/>
  <dimension ref="A1:P23"/>
  <sheetViews>
    <sheetView workbookViewId="0">
      <selection activeCell="F18" sqref="F18"/>
    </sheetView>
  </sheetViews>
  <sheetFormatPr defaultColWidth="8.88671875" defaultRowHeight="14.4"/>
  <cols>
    <col min="2" max="3" width="20.5546875" customWidth="1"/>
    <col min="6" max="6" width="13.88671875" customWidth="1"/>
    <col min="7" max="7" width="14.5546875" customWidth="1"/>
    <col min="8" max="8" width="13.109375" customWidth="1"/>
    <col min="9" max="9" width="17.5546875" customWidth="1"/>
    <col min="10" max="10" width="11.6640625" customWidth="1"/>
    <col min="12" max="12" width="17.77734375" customWidth="1"/>
    <col min="13" max="13" width="13.6640625" customWidth="1"/>
    <col min="15" max="15" width="18" customWidth="1"/>
    <col min="16" max="16" width="18.88671875" customWidth="1"/>
  </cols>
  <sheetData>
    <row r="1" spans="1:16" ht="15.6">
      <c r="A1" s="6"/>
      <c r="B1" s="6"/>
      <c r="C1" s="6"/>
      <c r="D1" s="6"/>
      <c r="E1" s="6"/>
      <c r="F1" s="6"/>
      <c r="G1" s="18" t="s">
        <v>0</v>
      </c>
      <c r="H1" s="18"/>
      <c r="I1" s="6"/>
      <c r="J1" s="6"/>
      <c r="K1" s="6"/>
      <c r="L1" s="6"/>
      <c r="M1" s="6"/>
      <c r="N1" s="6"/>
      <c r="O1" s="6"/>
      <c r="P1" s="6"/>
    </row>
    <row r="2" spans="1:16" ht="15.6">
      <c r="A2" s="18" t="s">
        <v>1</v>
      </c>
      <c r="B2" s="18" t="s">
        <v>2</v>
      </c>
      <c r="C2" s="18"/>
      <c r="D2" s="18" t="s">
        <v>3</v>
      </c>
      <c r="E2" s="18" t="s">
        <v>4</v>
      </c>
      <c r="F2" s="18" t="s">
        <v>5</v>
      </c>
      <c r="G2" s="18" t="s">
        <v>6</v>
      </c>
      <c r="H2" s="18" t="s">
        <v>7</v>
      </c>
      <c r="I2" s="18" t="s">
        <v>8</v>
      </c>
      <c r="J2" s="18" t="s">
        <v>9</v>
      </c>
      <c r="K2" s="18" t="s">
        <v>10</v>
      </c>
      <c r="L2" s="18" t="s">
        <v>11</v>
      </c>
      <c r="M2" s="18" t="s">
        <v>12</v>
      </c>
      <c r="N2" s="18" t="s">
        <v>13</v>
      </c>
      <c r="O2" s="19" t="s">
        <v>14</v>
      </c>
      <c r="P2" s="19" t="s">
        <v>15</v>
      </c>
    </row>
    <row r="3" spans="1:16" ht="15.6">
      <c r="A3" s="39">
        <v>1</v>
      </c>
      <c r="B3" s="38" t="s">
        <v>279</v>
      </c>
      <c r="C3" s="38">
        <v>966501468</v>
      </c>
      <c r="D3" s="6" t="s">
        <v>17</v>
      </c>
      <c r="E3" s="6">
        <v>6</v>
      </c>
      <c r="F3" s="6">
        <v>16200</v>
      </c>
      <c r="G3" s="6" t="s">
        <v>78</v>
      </c>
      <c r="H3" s="6">
        <f>F3</f>
        <v>16200</v>
      </c>
      <c r="I3" s="6">
        <v>0</v>
      </c>
      <c r="J3" s="6"/>
      <c r="K3" s="6"/>
      <c r="L3" s="6"/>
      <c r="M3" s="6" t="s">
        <v>79</v>
      </c>
      <c r="N3" s="6" t="s">
        <v>80</v>
      </c>
      <c r="O3" s="6"/>
      <c r="P3" s="6"/>
    </row>
    <row r="4" spans="1:16" ht="19.95" customHeight="1">
      <c r="A4" s="39">
        <v>2</v>
      </c>
      <c r="B4" s="38" t="s">
        <v>280</v>
      </c>
      <c r="C4" s="38">
        <v>7262882149</v>
      </c>
      <c r="D4" s="6" t="s">
        <v>17</v>
      </c>
      <c r="E4" s="6">
        <v>6</v>
      </c>
      <c r="F4" s="6">
        <v>16200</v>
      </c>
      <c r="G4" s="6" t="s">
        <v>60</v>
      </c>
      <c r="H4" s="6" t="s">
        <v>60</v>
      </c>
      <c r="I4" s="6">
        <v>0</v>
      </c>
      <c r="J4" s="6"/>
      <c r="K4" s="6"/>
      <c r="L4" s="6"/>
      <c r="M4" s="6" t="s">
        <v>199</v>
      </c>
      <c r="N4" s="6" t="s">
        <v>32</v>
      </c>
      <c r="O4" s="21" t="s">
        <v>74</v>
      </c>
      <c r="P4" s="21" t="s">
        <v>26</v>
      </c>
    </row>
    <row r="5" spans="1:16" ht="15.6">
      <c r="A5" s="39">
        <v>3</v>
      </c>
      <c r="B5" s="38" t="s">
        <v>281</v>
      </c>
      <c r="C5" s="38">
        <v>7498538896</v>
      </c>
      <c r="D5" s="6" t="s">
        <v>17</v>
      </c>
      <c r="E5" s="6">
        <v>6</v>
      </c>
      <c r="F5" s="6">
        <v>16200</v>
      </c>
      <c r="G5" s="6"/>
      <c r="H5" s="6">
        <v>8000</v>
      </c>
      <c r="I5" s="6">
        <f t="shared" ref="I5:I11" si="0">F5-H5</f>
        <v>8200</v>
      </c>
      <c r="J5" s="6"/>
      <c r="K5" s="6"/>
      <c r="L5" s="6"/>
      <c r="M5" s="6" t="s">
        <v>118</v>
      </c>
      <c r="N5" s="6" t="s">
        <v>119</v>
      </c>
      <c r="O5" s="21" t="s">
        <v>33</v>
      </c>
      <c r="P5" s="21" t="s">
        <v>26</v>
      </c>
    </row>
    <row r="6" spans="1:16" ht="15.6">
      <c r="A6" s="39">
        <v>4</v>
      </c>
      <c r="B6" s="38" t="s">
        <v>282</v>
      </c>
      <c r="C6" s="38">
        <v>7028882067</v>
      </c>
      <c r="D6" s="6" t="s">
        <v>17</v>
      </c>
      <c r="E6" s="6">
        <v>6</v>
      </c>
      <c r="F6" s="6">
        <v>16200</v>
      </c>
      <c r="G6" s="6"/>
      <c r="H6" s="6">
        <v>0</v>
      </c>
      <c r="I6" s="6">
        <f t="shared" si="0"/>
        <v>16200</v>
      </c>
      <c r="J6" s="6"/>
      <c r="K6" s="6"/>
      <c r="L6" s="6"/>
      <c r="M6" s="6" t="s">
        <v>23</v>
      </c>
      <c r="N6" s="6" t="s">
        <v>163</v>
      </c>
      <c r="O6" s="21"/>
      <c r="P6" s="21" t="s">
        <v>283</v>
      </c>
    </row>
    <row r="7" spans="1:16" ht="15.6">
      <c r="A7" s="39">
        <v>5</v>
      </c>
      <c r="B7" s="38" t="s">
        <v>284</v>
      </c>
      <c r="C7" s="38">
        <v>7841035181</v>
      </c>
      <c r="D7" s="6" t="s">
        <v>17</v>
      </c>
      <c r="E7" s="6">
        <v>6</v>
      </c>
      <c r="F7" s="6">
        <v>16200</v>
      </c>
      <c r="G7" s="6" t="s">
        <v>60</v>
      </c>
      <c r="H7" s="6" t="s">
        <v>60</v>
      </c>
      <c r="I7" s="6">
        <v>0</v>
      </c>
      <c r="J7" s="6"/>
      <c r="K7" s="6"/>
      <c r="L7" s="6"/>
      <c r="M7" s="6" t="s">
        <v>285</v>
      </c>
      <c r="N7" s="6" t="s">
        <v>286</v>
      </c>
      <c r="O7" s="21" t="s">
        <v>287</v>
      </c>
      <c r="P7" s="21" t="s">
        <v>26</v>
      </c>
    </row>
    <row r="8" spans="1:16" ht="15.6">
      <c r="A8" s="39">
        <v>6</v>
      </c>
      <c r="B8" s="38" t="s">
        <v>288</v>
      </c>
      <c r="C8" s="38">
        <v>9623158476</v>
      </c>
      <c r="D8" s="6" t="s">
        <v>17</v>
      </c>
      <c r="E8" s="6">
        <v>6</v>
      </c>
      <c r="F8" s="6">
        <v>16200</v>
      </c>
      <c r="G8" s="6"/>
      <c r="H8" s="6">
        <v>16200</v>
      </c>
      <c r="I8" s="6">
        <f t="shared" si="0"/>
        <v>0</v>
      </c>
      <c r="J8" s="6"/>
      <c r="K8" s="6"/>
      <c r="L8" s="6"/>
      <c r="M8" s="6" t="s">
        <v>54</v>
      </c>
      <c r="N8" s="6" t="s">
        <v>24</v>
      </c>
      <c r="O8" s="21" t="s">
        <v>289</v>
      </c>
      <c r="P8" s="21" t="s">
        <v>26</v>
      </c>
    </row>
    <row r="9" spans="1:16" ht="15.6">
      <c r="A9" s="39">
        <v>7</v>
      </c>
      <c r="B9" s="38" t="s">
        <v>290</v>
      </c>
      <c r="C9" s="38">
        <v>75593006692</v>
      </c>
      <c r="D9" s="6" t="s">
        <v>17</v>
      </c>
      <c r="E9" s="6">
        <v>6</v>
      </c>
      <c r="F9" s="6">
        <v>0</v>
      </c>
      <c r="G9" s="6" t="s">
        <v>257</v>
      </c>
      <c r="H9" s="6">
        <v>0</v>
      </c>
      <c r="I9" s="6">
        <v>0</v>
      </c>
      <c r="J9" s="6"/>
      <c r="K9" s="6"/>
      <c r="L9" s="6"/>
      <c r="M9" s="6" t="s">
        <v>19</v>
      </c>
      <c r="N9" s="6" t="s">
        <v>32</v>
      </c>
      <c r="O9" s="21" t="s">
        <v>221</v>
      </c>
      <c r="P9" s="21" t="s">
        <v>221</v>
      </c>
    </row>
    <row r="10" spans="1:16" ht="15.6">
      <c r="A10" s="39">
        <v>8</v>
      </c>
      <c r="B10" s="38" t="s">
        <v>291</v>
      </c>
      <c r="C10" s="38">
        <v>7822936079</v>
      </c>
      <c r="D10" s="6" t="s">
        <v>17</v>
      </c>
      <c r="E10" s="6">
        <v>6</v>
      </c>
      <c r="F10" s="6">
        <v>0</v>
      </c>
      <c r="G10" s="6" t="s">
        <v>257</v>
      </c>
      <c r="H10" s="6">
        <v>0</v>
      </c>
      <c r="I10" s="6">
        <v>0</v>
      </c>
      <c r="J10" s="6"/>
      <c r="K10" s="6"/>
      <c r="L10" s="6"/>
      <c r="M10" s="6" t="s">
        <v>118</v>
      </c>
      <c r="N10" s="6" t="s">
        <v>119</v>
      </c>
      <c r="O10" s="6"/>
      <c r="P10" s="6"/>
    </row>
    <row r="11" spans="1:16" ht="15.6">
      <c r="A11" s="39">
        <v>9</v>
      </c>
      <c r="B11" s="38" t="s">
        <v>366</v>
      </c>
      <c r="C11" s="38">
        <v>9322820183</v>
      </c>
      <c r="D11" s="6" t="s">
        <v>17</v>
      </c>
      <c r="E11" s="6">
        <v>6</v>
      </c>
      <c r="F11" s="6">
        <v>16200</v>
      </c>
      <c r="G11" s="6"/>
      <c r="H11" s="6">
        <v>6000</v>
      </c>
      <c r="I11" s="6">
        <f t="shared" si="0"/>
        <v>10200</v>
      </c>
      <c r="J11" s="6"/>
      <c r="K11" s="6"/>
      <c r="L11" s="6"/>
      <c r="M11" s="6" t="s">
        <v>19</v>
      </c>
      <c r="N11" s="6" t="s">
        <v>20</v>
      </c>
      <c r="O11" s="6"/>
      <c r="P11" s="6"/>
    </row>
    <row r="12" spans="1:16" s="4" customFormat="1" ht="15.6">
      <c r="A12" s="40">
        <v>10</v>
      </c>
      <c r="B12" s="41" t="s">
        <v>292</v>
      </c>
      <c r="C12" s="41"/>
      <c r="D12" s="27"/>
      <c r="E12" s="27"/>
      <c r="F12" s="27">
        <v>0</v>
      </c>
      <c r="G12" s="27" t="s">
        <v>22</v>
      </c>
      <c r="H12" s="27">
        <v>0</v>
      </c>
      <c r="I12" s="27">
        <v>0</v>
      </c>
      <c r="J12" s="27"/>
      <c r="K12" s="27"/>
      <c r="L12" s="27"/>
      <c r="M12" s="27"/>
      <c r="N12" s="27"/>
      <c r="O12" s="27"/>
      <c r="P12" s="27"/>
    </row>
    <row r="13" spans="1:16" ht="16.05" customHeight="1">
      <c r="A13" s="39">
        <v>11</v>
      </c>
      <c r="B13" s="38" t="s">
        <v>293</v>
      </c>
      <c r="C13" s="38">
        <v>7057125914</v>
      </c>
      <c r="D13" s="6" t="s">
        <v>30</v>
      </c>
      <c r="E13" s="6">
        <v>6</v>
      </c>
      <c r="F13" s="6">
        <v>12200</v>
      </c>
      <c r="G13" s="6"/>
      <c r="H13" s="6">
        <v>0</v>
      </c>
      <c r="I13" s="6">
        <f t="shared" ref="I13:I19" si="1">F13-H13</f>
        <v>12200</v>
      </c>
      <c r="J13" s="6"/>
      <c r="K13" s="6"/>
      <c r="L13" s="6"/>
      <c r="M13" s="6" t="s">
        <v>28</v>
      </c>
      <c r="N13" s="6" t="s">
        <v>24</v>
      </c>
      <c r="O13" s="21" t="s">
        <v>130</v>
      </c>
      <c r="P13" s="21" t="s">
        <v>294</v>
      </c>
    </row>
    <row r="14" spans="1:16" ht="15.6">
      <c r="A14" s="39">
        <v>12</v>
      </c>
      <c r="B14" s="38" t="s">
        <v>295</v>
      </c>
      <c r="C14" s="38">
        <v>9763193486</v>
      </c>
      <c r="D14" s="6" t="s">
        <v>30</v>
      </c>
      <c r="E14" s="6">
        <v>6</v>
      </c>
      <c r="F14" s="6">
        <v>12200</v>
      </c>
      <c r="G14" s="6"/>
      <c r="H14" s="6">
        <v>12200</v>
      </c>
      <c r="I14" s="6">
        <f t="shared" si="1"/>
        <v>0</v>
      </c>
      <c r="J14" s="6"/>
      <c r="K14" s="6"/>
      <c r="L14" s="6"/>
      <c r="M14" s="6" t="s">
        <v>162</v>
      </c>
      <c r="N14" s="6" t="s">
        <v>163</v>
      </c>
      <c r="O14" s="6" t="s">
        <v>296</v>
      </c>
      <c r="P14" s="6" t="s">
        <v>43</v>
      </c>
    </row>
    <row r="15" spans="1:16" ht="15.6">
      <c r="A15" s="39">
        <v>13</v>
      </c>
      <c r="B15" s="38" t="s">
        <v>297</v>
      </c>
      <c r="C15" s="38">
        <v>9049764023</v>
      </c>
      <c r="D15" s="6" t="s">
        <v>30</v>
      </c>
      <c r="E15" s="6">
        <v>6</v>
      </c>
      <c r="F15" s="6">
        <v>12200</v>
      </c>
      <c r="G15" s="6" t="s">
        <v>60</v>
      </c>
      <c r="H15" s="6" t="s">
        <v>60</v>
      </c>
      <c r="I15" s="6">
        <v>0</v>
      </c>
      <c r="J15" s="6"/>
      <c r="K15" s="6"/>
      <c r="L15" s="6"/>
      <c r="M15" s="6" t="s">
        <v>199</v>
      </c>
      <c r="N15" s="6" t="s">
        <v>32</v>
      </c>
      <c r="O15" s="21" t="s">
        <v>74</v>
      </c>
      <c r="P15" s="21" t="s">
        <v>26</v>
      </c>
    </row>
    <row r="16" spans="1:16" ht="15.6">
      <c r="A16" s="39">
        <v>14</v>
      </c>
      <c r="B16" s="38" t="s">
        <v>298</v>
      </c>
      <c r="C16" s="38">
        <v>6395064076</v>
      </c>
      <c r="D16" s="6" t="s">
        <v>30</v>
      </c>
      <c r="E16" s="6">
        <v>6</v>
      </c>
      <c r="F16" s="6">
        <v>9150</v>
      </c>
      <c r="G16" s="6"/>
      <c r="H16" s="6">
        <v>9150</v>
      </c>
      <c r="I16" s="6">
        <f t="shared" si="1"/>
        <v>0</v>
      </c>
      <c r="J16" s="6"/>
      <c r="K16" s="6"/>
      <c r="L16" s="6"/>
      <c r="M16" s="6" t="s">
        <v>19</v>
      </c>
      <c r="N16" s="6" t="s">
        <v>20</v>
      </c>
      <c r="O16" s="21" t="s">
        <v>299</v>
      </c>
      <c r="P16" s="21" t="s">
        <v>26</v>
      </c>
    </row>
    <row r="17" spans="1:16" ht="15.6">
      <c r="A17" s="39">
        <v>15</v>
      </c>
      <c r="B17" s="38" t="s">
        <v>300</v>
      </c>
      <c r="C17" s="38">
        <v>9960501315</v>
      </c>
      <c r="D17" s="6" t="s">
        <v>30</v>
      </c>
      <c r="E17" s="6">
        <v>6</v>
      </c>
      <c r="F17" s="6">
        <v>12200</v>
      </c>
      <c r="G17" s="6" t="s">
        <v>60</v>
      </c>
      <c r="H17" s="6" t="s">
        <v>60</v>
      </c>
      <c r="I17" s="6">
        <v>0</v>
      </c>
      <c r="J17" s="6"/>
      <c r="K17" s="6"/>
      <c r="L17" s="6"/>
      <c r="M17" s="6" t="s">
        <v>301</v>
      </c>
      <c r="N17" s="6" t="s">
        <v>97</v>
      </c>
      <c r="O17" s="21" t="s">
        <v>302</v>
      </c>
      <c r="P17" s="21"/>
    </row>
    <row r="18" spans="1:16" ht="15.6">
      <c r="A18" s="39">
        <v>16</v>
      </c>
      <c r="B18" s="38" t="s">
        <v>303</v>
      </c>
      <c r="C18" s="38">
        <v>9975332700</v>
      </c>
      <c r="D18" s="6" t="s">
        <v>30</v>
      </c>
      <c r="E18" s="6">
        <v>6</v>
      </c>
      <c r="F18" s="6">
        <v>12200</v>
      </c>
      <c r="G18" s="6"/>
      <c r="H18" s="6">
        <v>0</v>
      </c>
      <c r="I18" s="6">
        <f t="shared" si="1"/>
        <v>12200</v>
      </c>
      <c r="J18" s="6"/>
      <c r="K18" s="6"/>
      <c r="L18" s="6"/>
      <c r="M18" s="6" t="s">
        <v>19</v>
      </c>
      <c r="N18" s="6">
        <v>1</v>
      </c>
      <c r="O18" s="21" t="s">
        <v>58</v>
      </c>
      <c r="P18" s="21" t="s">
        <v>26</v>
      </c>
    </row>
    <row r="19" spans="1:16" ht="15.6">
      <c r="A19" s="39">
        <v>17</v>
      </c>
      <c r="B19" s="38" t="s">
        <v>304</v>
      </c>
      <c r="C19" s="38">
        <v>9096462142</v>
      </c>
      <c r="D19" s="6" t="s">
        <v>30</v>
      </c>
      <c r="E19" s="6">
        <v>6</v>
      </c>
      <c r="F19" s="6">
        <v>11000</v>
      </c>
      <c r="G19" s="6"/>
      <c r="H19" s="6">
        <v>11000</v>
      </c>
      <c r="I19" s="6">
        <f t="shared" si="1"/>
        <v>0</v>
      </c>
      <c r="J19" s="6"/>
      <c r="K19" s="6"/>
      <c r="L19" s="6"/>
      <c r="M19" s="6" t="s">
        <v>96</v>
      </c>
      <c r="N19" s="6" t="s">
        <v>24</v>
      </c>
      <c r="O19" s="6"/>
      <c r="P19" s="6"/>
    </row>
    <row r="20" spans="1:16" ht="15.6">
      <c r="A20" s="6"/>
      <c r="B20" s="6"/>
      <c r="C20" s="6"/>
      <c r="D20" s="6"/>
      <c r="E20" s="6"/>
      <c r="F20" s="12">
        <f>SUM(F3:F19)</f>
        <v>194550</v>
      </c>
      <c r="G20" s="12"/>
      <c r="H20" s="12">
        <f t="shared" ref="H20" si="2">SUM(H3:H19)</f>
        <v>78750</v>
      </c>
      <c r="I20" s="12">
        <f>F20-H20</f>
        <v>115800</v>
      </c>
      <c r="J20" s="6"/>
      <c r="K20" s="6"/>
      <c r="L20" s="6"/>
      <c r="M20" s="6"/>
      <c r="N20" s="6"/>
      <c r="O20" s="6"/>
      <c r="P20" s="6"/>
    </row>
    <row r="22" spans="1:16" s="1" customFormat="1">
      <c r="B22" s="1" t="s">
        <v>362</v>
      </c>
      <c r="D22" s="1">
        <v>4000</v>
      </c>
    </row>
    <row r="23" spans="1:16">
      <c r="I23" s="1">
        <f>H20/F20*100</f>
        <v>40.478026214340787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P21"/>
  <sheetViews>
    <sheetView workbookViewId="0">
      <selection activeCell="A24" sqref="A24"/>
    </sheetView>
  </sheetViews>
  <sheetFormatPr defaultColWidth="8.88671875" defaultRowHeight="14.4"/>
  <cols>
    <col min="2" max="2" width="23.33203125" style="3" customWidth="1"/>
    <col min="3" max="3" width="19.88671875" style="3" customWidth="1"/>
    <col min="4" max="4" width="8.88671875" style="3" customWidth="1"/>
    <col min="7" max="7" width="13.44140625" customWidth="1"/>
    <col min="8" max="8" width="13.109375" customWidth="1"/>
    <col min="9" max="9" width="14.21875" customWidth="1"/>
    <col min="10" max="10" width="11.5546875" customWidth="1"/>
    <col min="11" max="11" width="8.88671875" customWidth="1"/>
    <col min="12" max="12" width="17.77734375" customWidth="1"/>
    <col min="15" max="15" width="21.6640625" customWidth="1"/>
    <col min="16" max="16" width="18.88671875" customWidth="1"/>
  </cols>
  <sheetData>
    <row r="1" spans="1:16" ht="15.6">
      <c r="A1" s="6"/>
      <c r="B1" s="37"/>
      <c r="C1" s="37"/>
      <c r="D1" s="37"/>
      <c r="E1" s="6"/>
      <c r="F1" s="6"/>
      <c r="G1" s="18" t="s">
        <v>0</v>
      </c>
      <c r="H1" s="18"/>
      <c r="I1" s="6"/>
      <c r="J1" s="6"/>
      <c r="K1" s="6"/>
      <c r="L1" s="6"/>
      <c r="M1" s="6"/>
      <c r="N1" s="6"/>
      <c r="O1" s="6"/>
      <c r="P1" s="6"/>
    </row>
    <row r="2" spans="1:16" ht="15.6">
      <c r="A2" s="18" t="s">
        <v>1</v>
      </c>
      <c r="B2" s="18" t="s">
        <v>2</v>
      </c>
      <c r="C2" s="18"/>
      <c r="D2" s="18" t="s">
        <v>3</v>
      </c>
      <c r="E2" s="18" t="s">
        <v>4</v>
      </c>
      <c r="F2" s="18" t="s">
        <v>5</v>
      </c>
      <c r="G2" s="18" t="s">
        <v>6</v>
      </c>
      <c r="H2" s="18" t="s">
        <v>7</v>
      </c>
      <c r="I2" s="18" t="s">
        <v>8</v>
      </c>
      <c r="J2" s="18" t="s">
        <v>9</v>
      </c>
      <c r="K2" s="18" t="s">
        <v>10</v>
      </c>
      <c r="L2" s="18" t="s">
        <v>11</v>
      </c>
      <c r="M2" s="18" t="s">
        <v>12</v>
      </c>
      <c r="N2" s="18" t="s">
        <v>13</v>
      </c>
      <c r="O2" s="19" t="s">
        <v>14</v>
      </c>
      <c r="P2" s="19" t="s">
        <v>15</v>
      </c>
    </row>
    <row r="3" spans="1:16" ht="15.6">
      <c r="A3" s="42">
        <v>1</v>
      </c>
      <c r="B3" s="38" t="s">
        <v>305</v>
      </c>
      <c r="C3" s="38">
        <v>9657186400</v>
      </c>
      <c r="D3" s="37" t="s">
        <v>17</v>
      </c>
      <c r="E3" s="37">
        <v>7</v>
      </c>
      <c r="F3" s="6">
        <v>12150</v>
      </c>
      <c r="G3" s="6"/>
      <c r="H3" s="6">
        <v>0</v>
      </c>
      <c r="I3" s="6">
        <f>F3-H3</f>
        <v>12150</v>
      </c>
      <c r="J3" s="6"/>
      <c r="K3" s="6"/>
      <c r="L3" s="6"/>
      <c r="M3" s="6" t="s">
        <v>28</v>
      </c>
      <c r="N3" s="6" t="s">
        <v>24</v>
      </c>
      <c r="O3" s="6" t="s">
        <v>306</v>
      </c>
      <c r="P3" s="6" t="s">
        <v>26</v>
      </c>
    </row>
    <row r="4" spans="1:16" ht="15.6">
      <c r="A4" s="42">
        <v>2</v>
      </c>
      <c r="B4" s="38" t="s">
        <v>307</v>
      </c>
      <c r="C4" s="38">
        <v>8485054355</v>
      </c>
      <c r="D4" s="37" t="s">
        <v>17</v>
      </c>
      <c r="E4" s="37">
        <v>7</v>
      </c>
      <c r="F4" s="6">
        <v>16200</v>
      </c>
      <c r="G4" s="6"/>
      <c r="H4" s="6">
        <v>16200</v>
      </c>
      <c r="I4" s="6">
        <f t="shared" ref="I4:I15" si="0">F4-H4</f>
        <v>0</v>
      </c>
      <c r="J4" s="6"/>
      <c r="K4" s="6"/>
      <c r="L4" s="6"/>
      <c r="M4" s="6" t="s">
        <v>19</v>
      </c>
      <c r="N4" s="6" t="s">
        <v>20</v>
      </c>
      <c r="O4" s="6" t="s">
        <v>308</v>
      </c>
      <c r="P4" s="6" t="s">
        <v>26</v>
      </c>
    </row>
    <row r="5" spans="1:16" ht="15.6">
      <c r="A5" s="42">
        <v>3</v>
      </c>
      <c r="B5" s="38" t="s">
        <v>309</v>
      </c>
      <c r="C5" s="38">
        <v>8805776662</v>
      </c>
      <c r="D5" s="37" t="s">
        <v>17</v>
      </c>
      <c r="E5" s="37">
        <v>7</v>
      </c>
      <c r="F5" s="6">
        <v>16200</v>
      </c>
      <c r="G5" s="6"/>
      <c r="H5" s="6">
        <v>0</v>
      </c>
      <c r="I5" s="6">
        <f t="shared" si="0"/>
        <v>16200</v>
      </c>
      <c r="J5" s="6"/>
      <c r="K5" s="6"/>
      <c r="L5" s="6"/>
      <c r="M5" s="6" t="s">
        <v>19</v>
      </c>
      <c r="N5" s="6" t="s">
        <v>20</v>
      </c>
      <c r="O5" s="6" t="s">
        <v>310</v>
      </c>
      <c r="P5" s="6" t="s">
        <v>26</v>
      </c>
    </row>
    <row r="6" spans="1:16" ht="15.6">
      <c r="A6" s="42">
        <v>4</v>
      </c>
      <c r="B6" s="38" t="s">
        <v>311</v>
      </c>
      <c r="C6" s="38">
        <v>9665537788</v>
      </c>
      <c r="D6" s="37" t="s">
        <v>17</v>
      </c>
      <c r="E6" s="37">
        <v>7</v>
      </c>
      <c r="F6" s="6">
        <v>12200</v>
      </c>
      <c r="G6" s="6"/>
      <c r="H6" s="6">
        <v>12200</v>
      </c>
      <c r="I6" s="6">
        <f t="shared" si="0"/>
        <v>0</v>
      </c>
      <c r="J6" s="6"/>
      <c r="K6" s="6"/>
      <c r="L6" s="6"/>
      <c r="M6" s="6" t="s">
        <v>19</v>
      </c>
      <c r="N6" s="6" t="s">
        <v>20</v>
      </c>
      <c r="O6" s="6" t="s">
        <v>312</v>
      </c>
      <c r="P6" s="6" t="s">
        <v>26</v>
      </c>
    </row>
    <row r="7" spans="1:16" ht="15.6">
      <c r="A7" s="42">
        <v>5</v>
      </c>
      <c r="B7" s="38" t="s">
        <v>313</v>
      </c>
      <c r="C7" s="38">
        <v>9021305787</v>
      </c>
      <c r="D7" s="37" t="s">
        <v>17</v>
      </c>
      <c r="E7" s="37">
        <v>7</v>
      </c>
      <c r="F7" s="6">
        <v>16200</v>
      </c>
      <c r="G7" s="6"/>
      <c r="H7" s="6">
        <v>16200</v>
      </c>
      <c r="I7" s="6">
        <f t="shared" si="0"/>
        <v>0</v>
      </c>
      <c r="J7" s="6"/>
      <c r="K7" s="6"/>
      <c r="L7" s="6"/>
      <c r="M7" s="6" t="s">
        <v>28</v>
      </c>
      <c r="N7" s="6" t="s">
        <v>24</v>
      </c>
      <c r="O7" s="6" t="s">
        <v>202</v>
      </c>
      <c r="P7" s="6" t="s">
        <v>26</v>
      </c>
    </row>
    <row r="8" spans="1:16" ht="15.6">
      <c r="A8" s="42">
        <v>6</v>
      </c>
      <c r="B8" s="38" t="s">
        <v>314</v>
      </c>
      <c r="C8" s="38"/>
      <c r="D8" s="37" t="s">
        <v>17</v>
      </c>
      <c r="E8" s="37">
        <v>7</v>
      </c>
      <c r="F8" s="6">
        <v>16200</v>
      </c>
      <c r="G8" s="6" t="s">
        <v>78</v>
      </c>
      <c r="H8" s="6">
        <f>F8</f>
        <v>16200</v>
      </c>
      <c r="I8" s="6">
        <f>F8</f>
        <v>16200</v>
      </c>
      <c r="J8" s="6"/>
      <c r="K8" s="6"/>
      <c r="L8" s="6"/>
      <c r="M8" s="6" t="s">
        <v>79</v>
      </c>
      <c r="N8" s="6" t="s">
        <v>80</v>
      </c>
      <c r="O8" s="6"/>
      <c r="P8" s="6"/>
    </row>
    <row r="9" spans="1:16" ht="15.6">
      <c r="A9" s="42">
        <v>7</v>
      </c>
      <c r="B9" s="38" t="s">
        <v>315</v>
      </c>
      <c r="C9" s="38"/>
      <c r="D9" s="37" t="s">
        <v>17</v>
      </c>
      <c r="E9" s="37">
        <v>7</v>
      </c>
      <c r="F9" s="6">
        <v>16200</v>
      </c>
      <c r="G9" s="6" t="s">
        <v>78</v>
      </c>
      <c r="H9" s="6">
        <f>F9</f>
        <v>16200</v>
      </c>
      <c r="I9" s="6">
        <f t="shared" ref="I9:I11" si="1">F9</f>
        <v>16200</v>
      </c>
      <c r="J9" s="6"/>
      <c r="K9" s="6"/>
      <c r="L9" s="6"/>
      <c r="M9" s="6" t="s">
        <v>79</v>
      </c>
      <c r="N9" s="6" t="s">
        <v>80</v>
      </c>
      <c r="O9" s="6"/>
      <c r="P9" s="6"/>
    </row>
    <row r="10" spans="1:16" ht="15.6">
      <c r="A10" s="42">
        <v>8</v>
      </c>
      <c r="B10" s="38" t="s">
        <v>316</v>
      </c>
      <c r="C10" s="38"/>
      <c r="D10" s="37" t="s">
        <v>17</v>
      </c>
      <c r="E10" s="37">
        <v>7</v>
      </c>
      <c r="F10" s="6">
        <v>16200</v>
      </c>
      <c r="G10" s="6" t="s">
        <v>78</v>
      </c>
      <c r="H10" s="6">
        <f t="shared" ref="H10:H11" si="2">F10</f>
        <v>16200</v>
      </c>
      <c r="I10" s="6">
        <f t="shared" si="1"/>
        <v>16200</v>
      </c>
      <c r="J10" s="6"/>
      <c r="K10" s="6"/>
      <c r="L10" s="6"/>
      <c r="M10" s="6" t="s">
        <v>317</v>
      </c>
      <c r="N10" s="6" t="s">
        <v>80</v>
      </c>
      <c r="O10" s="6"/>
      <c r="P10" s="6"/>
    </row>
    <row r="11" spans="1:16" ht="15.6">
      <c r="A11" s="42">
        <v>9</v>
      </c>
      <c r="B11" s="38" t="s">
        <v>318</v>
      </c>
      <c r="C11" s="38"/>
      <c r="D11" s="37" t="s">
        <v>17</v>
      </c>
      <c r="E11" s="37">
        <v>7</v>
      </c>
      <c r="F11" s="6">
        <v>16200</v>
      </c>
      <c r="G11" s="6" t="s">
        <v>78</v>
      </c>
      <c r="H11" s="6">
        <f t="shared" si="2"/>
        <v>16200</v>
      </c>
      <c r="I11" s="6">
        <f t="shared" si="1"/>
        <v>16200</v>
      </c>
      <c r="J11" s="6"/>
      <c r="K11" s="6"/>
      <c r="L11" s="6"/>
      <c r="M11" s="6" t="s">
        <v>79</v>
      </c>
      <c r="N11" s="6" t="s">
        <v>80</v>
      </c>
      <c r="O11" s="6"/>
      <c r="P11" s="6"/>
    </row>
    <row r="12" spans="1:16" ht="15.6">
      <c r="A12" s="42">
        <v>10</v>
      </c>
      <c r="B12" s="38" t="s">
        <v>319</v>
      </c>
      <c r="C12" s="38">
        <v>9860025125</v>
      </c>
      <c r="D12" s="37" t="s">
        <v>30</v>
      </c>
      <c r="E12" s="37">
        <v>7</v>
      </c>
      <c r="F12" s="6">
        <v>12200</v>
      </c>
      <c r="G12" s="6"/>
      <c r="H12" s="6">
        <v>12000</v>
      </c>
      <c r="I12" s="6">
        <f>F12-H12</f>
        <v>200</v>
      </c>
      <c r="J12" s="6"/>
      <c r="K12" s="6"/>
      <c r="L12" s="6"/>
      <c r="M12" s="6" t="s">
        <v>28</v>
      </c>
      <c r="N12" s="6" t="s">
        <v>24</v>
      </c>
      <c r="O12" s="6" t="s">
        <v>320</v>
      </c>
      <c r="P12" s="6" t="s">
        <v>321</v>
      </c>
    </row>
    <row r="13" spans="1:16" ht="15.6">
      <c r="A13" s="42">
        <v>11</v>
      </c>
      <c r="B13" s="38" t="s">
        <v>322</v>
      </c>
      <c r="C13" s="38">
        <v>9503293032</v>
      </c>
      <c r="D13" s="37" t="s">
        <v>30</v>
      </c>
      <c r="E13" s="37">
        <v>7</v>
      </c>
      <c r="F13" s="6">
        <v>12200</v>
      </c>
      <c r="G13" s="6" t="s">
        <v>60</v>
      </c>
      <c r="H13" s="6">
        <v>0</v>
      </c>
      <c r="I13" s="6">
        <v>0</v>
      </c>
      <c r="J13" s="6"/>
      <c r="K13" s="6"/>
      <c r="L13" s="6"/>
      <c r="M13" s="6" t="s">
        <v>19</v>
      </c>
      <c r="N13" s="6" t="s">
        <v>20</v>
      </c>
      <c r="O13" s="6" t="s">
        <v>323</v>
      </c>
      <c r="P13" s="6" t="s">
        <v>249</v>
      </c>
    </row>
    <row r="14" spans="1:16" ht="15.6">
      <c r="A14" s="42">
        <v>12</v>
      </c>
      <c r="B14" s="38" t="s">
        <v>324</v>
      </c>
      <c r="C14" s="38">
        <v>9075399050</v>
      </c>
      <c r="D14" s="37" t="s">
        <v>30</v>
      </c>
      <c r="E14" s="37">
        <v>7</v>
      </c>
      <c r="F14" s="6">
        <v>12200</v>
      </c>
      <c r="G14" s="6" t="s">
        <v>60</v>
      </c>
      <c r="H14" s="6">
        <v>0</v>
      </c>
      <c r="I14" s="6">
        <v>0</v>
      </c>
      <c r="J14" s="6"/>
      <c r="K14" s="6"/>
      <c r="L14" s="6"/>
      <c r="M14" s="6" t="s">
        <v>19</v>
      </c>
      <c r="N14" s="6" t="s">
        <v>20</v>
      </c>
      <c r="O14" s="6" t="s">
        <v>325</v>
      </c>
      <c r="P14" s="6" t="s">
        <v>26</v>
      </c>
    </row>
    <row r="15" spans="1:16" ht="15.6">
      <c r="A15" s="42">
        <v>13</v>
      </c>
      <c r="B15" s="38" t="s">
        <v>326</v>
      </c>
      <c r="C15" s="38">
        <v>9730253332</v>
      </c>
      <c r="D15" s="37" t="s">
        <v>30</v>
      </c>
      <c r="E15" s="37">
        <v>7</v>
      </c>
      <c r="F15" s="6">
        <v>12200</v>
      </c>
      <c r="G15" s="6"/>
      <c r="H15" s="6">
        <v>6000</v>
      </c>
      <c r="I15" s="6">
        <f t="shared" si="0"/>
        <v>6200</v>
      </c>
      <c r="J15" s="6"/>
      <c r="K15" s="6"/>
      <c r="L15" s="6"/>
      <c r="M15" s="6" t="s">
        <v>23</v>
      </c>
      <c r="N15" s="6" t="s">
        <v>163</v>
      </c>
      <c r="O15" s="6" t="s">
        <v>327</v>
      </c>
      <c r="P15" s="6" t="s">
        <v>26</v>
      </c>
    </row>
    <row r="16" spans="1:16" ht="15.6">
      <c r="A16" s="42">
        <v>14</v>
      </c>
      <c r="B16" s="38" t="s">
        <v>328</v>
      </c>
      <c r="C16" s="38"/>
      <c r="D16" s="37" t="s">
        <v>30</v>
      </c>
      <c r="E16" s="37">
        <v>7</v>
      </c>
      <c r="F16" s="6">
        <v>0</v>
      </c>
      <c r="G16" s="6" t="s">
        <v>257</v>
      </c>
      <c r="H16" s="6">
        <v>0</v>
      </c>
      <c r="I16" s="6">
        <v>0</v>
      </c>
      <c r="J16" s="6"/>
      <c r="K16" s="6"/>
      <c r="L16" s="6"/>
      <c r="M16" s="6" t="s">
        <v>19</v>
      </c>
      <c r="N16" s="6" t="s">
        <v>20</v>
      </c>
      <c r="O16" s="6" t="s">
        <v>25</v>
      </c>
      <c r="P16" s="6" t="s">
        <v>26</v>
      </c>
    </row>
    <row r="17" spans="1:16" ht="15.6">
      <c r="A17" s="42">
        <v>15</v>
      </c>
      <c r="B17" s="38" t="s">
        <v>329</v>
      </c>
      <c r="C17" s="38">
        <v>7558341731</v>
      </c>
      <c r="D17" s="37" t="s">
        <v>30</v>
      </c>
      <c r="E17" s="37">
        <v>7</v>
      </c>
      <c r="F17" s="6">
        <v>0</v>
      </c>
      <c r="G17" s="6" t="s">
        <v>257</v>
      </c>
      <c r="H17" s="6">
        <v>0</v>
      </c>
      <c r="I17" s="6">
        <v>0</v>
      </c>
      <c r="J17" s="6"/>
      <c r="K17" s="6"/>
      <c r="L17" s="6"/>
      <c r="M17" s="6" t="s">
        <v>330</v>
      </c>
      <c r="N17" s="6" t="s">
        <v>331</v>
      </c>
      <c r="O17" s="6"/>
      <c r="P17" s="6" t="s">
        <v>26</v>
      </c>
    </row>
    <row r="18" spans="1:16" ht="15.6">
      <c r="A18" s="6"/>
      <c r="B18" s="37"/>
      <c r="C18" s="37"/>
      <c r="D18" s="37"/>
      <c r="E18" s="37"/>
      <c r="F18" s="12">
        <f>SUM(F3:F17)</f>
        <v>186550</v>
      </c>
      <c r="G18" s="12">
        <f t="shared" ref="G18:H18" si="3">SUM(G3:G17)</f>
        <v>0</v>
      </c>
      <c r="H18" s="12">
        <f t="shared" si="3"/>
        <v>127400</v>
      </c>
      <c r="I18" s="12">
        <f>F18-H18</f>
        <v>59150</v>
      </c>
      <c r="J18" s="6"/>
      <c r="K18" s="6"/>
      <c r="L18" s="6"/>
      <c r="M18" s="6"/>
      <c r="N18" s="6"/>
      <c r="O18" s="6"/>
      <c r="P18" s="6"/>
    </row>
    <row r="21" spans="1:16">
      <c r="I21" s="1">
        <f>H18/F18*100</f>
        <v>68.292682926829272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P24"/>
  <sheetViews>
    <sheetView topLeftCell="A5" workbookViewId="0">
      <selection activeCell="A25" sqref="A25"/>
    </sheetView>
  </sheetViews>
  <sheetFormatPr defaultColWidth="8.88671875" defaultRowHeight="14.4"/>
  <cols>
    <col min="2" max="3" width="21.33203125" customWidth="1"/>
    <col min="6" max="6" width="21.88671875" customWidth="1"/>
    <col min="7" max="7" width="14.5546875" customWidth="1"/>
    <col min="8" max="8" width="13.109375" customWidth="1"/>
    <col min="9" max="9" width="17.5546875" customWidth="1"/>
    <col min="10" max="10" width="11.5546875" customWidth="1"/>
    <col min="12" max="12" width="17.77734375" customWidth="1"/>
    <col min="13" max="13" width="10.88671875" customWidth="1"/>
    <col min="14" max="14" width="8.77734375" customWidth="1"/>
    <col min="15" max="15" width="21.109375" customWidth="1"/>
    <col min="16" max="16" width="29.44140625" customWidth="1"/>
  </cols>
  <sheetData>
    <row r="1" spans="1:16" ht="15.6">
      <c r="A1" s="6"/>
      <c r="B1" s="6"/>
      <c r="C1" s="6"/>
      <c r="D1" s="6"/>
      <c r="E1" s="6"/>
      <c r="F1" s="6"/>
      <c r="G1" s="18" t="s">
        <v>0</v>
      </c>
      <c r="H1" s="18"/>
      <c r="I1" s="6"/>
      <c r="J1" s="6"/>
      <c r="K1" s="6"/>
      <c r="L1" s="6"/>
      <c r="M1" s="6"/>
      <c r="N1" s="6"/>
      <c r="O1" s="6"/>
      <c r="P1" s="6"/>
    </row>
    <row r="2" spans="1:16" ht="15.6">
      <c r="A2" s="18" t="s">
        <v>1</v>
      </c>
      <c r="B2" s="18" t="s">
        <v>2</v>
      </c>
      <c r="C2" s="18" t="s">
        <v>363</v>
      </c>
      <c r="D2" s="18" t="s">
        <v>3</v>
      </c>
      <c r="E2" s="18" t="s">
        <v>4</v>
      </c>
      <c r="F2" s="18" t="s">
        <v>5</v>
      </c>
      <c r="G2" s="18" t="s">
        <v>6</v>
      </c>
      <c r="H2" s="18" t="s">
        <v>7</v>
      </c>
      <c r="I2" s="18" t="s">
        <v>359</v>
      </c>
      <c r="J2" s="18" t="s">
        <v>9</v>
      </c>
      <c r="K2" s="18" t="s">
        <v>10</v>
      </c>
      <c r="L2" s="18" t="s">
        <v>11</v>
      </c>
      <c r="M2" s="18" t="s">
        <v>12</v>
      </c>
      <c r="N2" s="18" t="s">
        <v>13</v>
      </c>
      <c r="O2" s="43" t="s">
        <v>14</v>
      </c>
      <c r="P2" s="43" t="s">
        <v>15</v>
      </c>
    </row>
    <row r="3" spans="1:16" ht="15.6">
      <c r="A3" s="39">
        <v>1</v>
      </c>
      <c r="B3" s="38" t="s">
        <v>332</v>
      </c>
      <c r="C3" s="38"/>
      <c r="D3" s="6" t="s">
        <v>17</v>
      </c>
      <c r="E3" s="6">
        <v>8</v>
      </c>
      <c r="F3" s="6">
        <v>16200</v>
      </c>
      <c r="G3" s="6"/>
      <c r="H3" s="6">
        <v>16200</v>
      </c>
      <c r="I3" s="6">
        <f>F3-H3</f>
        <v>0</v>
      </c>
      <c r="J3" s="6"/>
      <c r="K3" s="6"/>
      <c r="L3" s="6"/>
      <c r="M3" s="6" t="s">
        <v>19</v>
      </c>
      <c r="N3" s="6" t="s">
        <v>20</v>
      </c>
      <c r="O3" s="21" t="s">
        <v>273</v>
      </c>
      <c r="P3" s="21" t="s">
        <v>26</v>
      </c>
    </row>
    <row r="4" spans="1:16" ht="15.6">
      <c r="A4" s="39">
        <v>2</v>
      </c>
      <c r="B4" s="38" t="s">
        <v>333</v>
      </c>
      <c r="C4" s="38"/>
      <c r="D4" s="6" t="s">
        <v>17</v>
      </c>
      <c r="E4" s="6">
        <v>8</v>
      </c>
      <c r="F4" s="6">
        <v>12200</v>
      </c>
      <c r="G4" s="6" t="s">
        <v>78</v>
      </c>
      <c r="H4" s="6">
        <f>F4</f>
        <v>12200</v>
      </c>
      <c r="I4" s="6">
        <f>F4-H4</f>
        <v>0</v>
      </c>
      <c r="J4" s="6"/>
      <c r="K4" s="6"/>
      <c r="L4" s="6"/>
      <c r="M4" s="6" t="s">
        <v>79</v>
      </c>
      <c r="N4" s="6" t="s">
        <v>334</v>
      </c>
      <c r="O4" s="21"/>
      <c r="P4" s="21"/>
    </row>
    <row r="5" spans="1:16" ht="15.6">
      <c r="A5" s="39">
        <v>3</v>
      </c>
      <c r="B5" s="38" t="s">
        <v>335</v>
      </c>
      <c r="C5" s="38"/>
      <c r="D5" s="6" t="s">
        <v>17</v>
      </c>
      <c r="E5" s="6">
        <v>8</v>
      </c>
      <c r="F5" s="6">
        <v>16200</v>
      </c>
      <c r="G5" s="6"/>
      <c r="H5" s="6">
        <v>16200</v>
      </c>
      <c r="I5" s="6">
        <f t="shared" ref="I5:I17" si="0">F5-H5</f>
        <v>0</v>
      </c>
      <c r="J5" s="6"/>
      <c r="K5" s="6"/>
      <c r="L5" s="6"/>
      <c r="M5" s="6" t="s">
        <v>19</v>
      </c>
      <c r="N5" s="6" t="s">
        <v>20</v>
      </c>
      <c r="O5" s="21" t="s">
        <v>325</v>
      </c>
      <c r="P5" s="21" t="s">
        <v>26</v>
      </c>
    </row>
    <row r="6" spans="1:16" ht="15.6">
      <c r="A6" s="39">
        <v>4</v>
      </c>
      <c r="B6" s="38" t="s">
        <v>336</v>
      </c>
      <c r="C6" s="38"/>
      <c r="D6" s="6" t="s">
        <v>17</v>
      </c>
      <c r="E6" s="6">
        <v>8</v>
      </c>
      <c r="F6" s="6">
        <v>16200</v>
      </c>
      <c r="G6" s="6"/>
      <c r="H6" s="6">
        <v>16200</v>
      </c>
      <c r="I6" s="6">
        <f t="shared" si="0"/>
        <v>0</v>
      </c>
      <c r="J6" s="6"/>
      <c r="K6" s="6"/>
      <c r="L6" s="6"/>
      <c r="M6" s="6" t="s">
        <v>19</v>
      </c>
      <c r="N6" s="6" t="s">
        <v>20</v>
      </c>
      <c r="O6" s="21" t="s">
        <v>337</v>
      </c>
      <c r="P6" s="21" t="s">
        <v>26</v>
      </c>
    </row>
    <row r="7" spans="1:16" ht="15.6">
      <c r="A7" s="39">
        <v>5</v>
      </c>
      <c r="B7" s="38" t="s">
        <v>338</v>
      </c>
      <c r="C7" s="38"/>
      <c r="D7" s="6" t="s">
        <v>17</v>
      </c>
      <c r="E7" s="6">
        <v>8</v>
      </c>
      <c r="F7" s="6">
        <v>16200</v>
      </c>
      <c r="G7" s="6"/>
      <c r="H7" s="6">
        <v>2000</v>
      </c>
      <c r="I7" s="6">
        <f t="shared" si="0"/>
        <v>14200</v>
      </c>
      <c r="J7" s="6"/>
      <c r="K7" s="6"/>
      <c r="L7" s="6"/>
      <c r="M7" s="6" t="s">
        <v>19</v>
      </c>
      <c r="N7" s="6" t="s">
        <v>20</v>
      </c>
      <c r="O7" s="21" t="s">
        <v>58</v>
      </c>
      <c r="P7" s="21" t="s">
        <v>26</v>
      </c>
    </row>
    <row r="8" spans="1:16" ht="15.6">
      <c r="A8" s="39">
        <v>6</v>
      </c>
      <c r="B8" s="38" t="s">
        <v>339</v>
      </c>
      <c r="C8" s="38"/>
      <c r="D8" s="6" t="s">
        <v>17</v>
      </c>
      <c r="E8" s="6">
        <v>8</v>
      </c>
      <c r="F8" s="6">
        <v>16200</v>
      </c>
      <c r="G8" s="6" t="s">
        <v>78</v>
      </c>
      <c r="H8" s="6">
        <f>F8</f>
        <v>16200</v>
      </c>
      <c r="I8" s="6">
        <f>F8</f>
        <v>16200</v>
      </c>
      <c r="J8" s="6"/>
      <c r="K8" s="6"/>
      <c r="L8" s="6"/>
      <c r="M8" s="6" t="s">
        <v>79</v>
      </c>
      <c r="N8" s="6" t="s">
        <v>334</v>
      </c>
      <c r="O8" s="21"/>
      <c r="P8" s="21"/>
    </row>
    <row r="9" spans="1:16" ht="19.05" customHeight="1">
      <c r="A9" s="39">
        <v>7</v>
      </c>
      <c r="B9" s="38" t="s">
        <v>340</v>
      </c>
      <c r="C9" s="38"/>
      <c r="D9" s="6" t="s">
        <v>17</v>
      </c>
      <c r="E9" s="6">
        <v>8</v>
      </c>
      <c r="F9" s="6">
        <v>0</v>
      </c>
      <c r="G9" s="6" t="s">
        <v>257</v>
      </c>
      <c r="H9" s="6" t="s">
        <v>257</v>
      </c>
      <c r="I9" s="6">
        <v>0</v>
      </c>
      <c r="J9" s="6"/>
      <c r="K9" s="6"/>
      <c r="L9" s="6"/>
      <c r="M9" s="6" t="s">
        <v>28</v>
      </c>
      <c r="N9" s="6" t="s">
        <v>24</v>
      </c>
      <c r="O9" s="21"/>
      <c r="P9" s="21"/>
    </row>
    <row r="10" spans="1:16" ht="15.6">
      <c r="A10" s="39">
        <v>8</v>
      </c>
      <c r="B10" s="38" t="s">
        <v>341</v>
      </c>
      <c r="C10" s="38"/>
      <c r="D10" s="6" t="s">
        <v>17</v>
      </c>
      <c r="E10" s="6">
        <v>8</v>
      </c>
      <c r="F10" s="6">
        <v>16200</v>
      </c>
      <c r="G10" s="6"/>
      <c r="H10" s="6">
        <v>8000</v>
      </c>
      <c r="I10" s="6">
        <f t="shared" si="0"/>
        <v>8200</v>
      </c>
      <c r="J10" s="6"/>
      <c r="K10" s="6"/>
      <c r="L10" s="6"/>
      <c r="M10" s="6" t="s">
        <v>19</v>
      </c>
      <c r="N10" s="6" t="s">
        <v>20</v>
      </c>
      <c r="O10" s="6"/>
      <c r="P10" s="6"/>
    </row>
    <row r="11" spans="1:16" ht="15.6">
      <c r="A11" s="39">
        <v>9</v>
      </c>
      <c r="B11" s="38" t="s">
        <v>342</v>
      </c>
      <c r="C11" s="38">
        <v>8698995856</v>
      </c>
      <c r="D11" s="6" t="s">
        <v>30</v>
      </c>
      <c r="E11" s="6">
        <v>8</v>
      </c>
      <c r="F11" s="6">
        <v>12200</v>
      </c>
      <c r="G11" s="6" t="s">
        <v>60</v>
      </c>
      <c r="H11" s="6" t="s">
        <v>60</v>
      </c>
      <c r="I11" s="6">
        <v>0</v>
      </c>
      <c r="J11" s="6"/>
      <c r="K11" s="6"/>
      <c r="L11" s="6"/>
      <c r="M11" s="6" t="s">
        <v>96</v>
      </c>
      <c r="N11" s="6" t="s">
        <v>24</v>
      </c>
      <c r="O11" s="6"/>
      <c r="P11" s="6"/>
    </row>
    <row r="12" spans="1:16" ht="15.6">
      <c r="A12" s="39">
        <v>10</v>
      </c>
      <c r="B12" s="38" t="s">
        <v>343</v>
      </c>
      <c r="C12" s="38"/>
      <c r="D12" s="6" t="s">
        <v>30</v>
      </c>
      <c r="E12" s="6">
        <v>8</v>
      </c>
      <c r="F12" s="6">
        <v>12200</v>
      </c>
      <c r="G12" s="6" t="s">
        <v>60</v>
      </c>
      <c r="H12" s="6" t="s">
        <v>60</v>
      </c>
      <c r="I12" s="6">
        <v>0</v>
      </c>
      <c r="J12" s="6"/>
      <c r="K12" s="6"/>
      <c r="L12" s="6"/>
      <c r="M12" s="6" t="s">
        <v>28</v>
      </c>
      <c r="N12" s="6" t="s">
        <v>24</v>
      </c>
      <c r="O12" s="21" t="s">
        <v>344</v>
      </c>
      <c r="P12" s="21" t="s">
        <v>26</v>
      </c>
    </row>
    <row r="13" spans="1:16" ht="15.6">
      <c r="A13" s="39">
        <v>11</v>
      </c>
      <c r="B13" s="38" t="s">
        <v>345</v>
      </c>
      <c r="C13" s="38">
        <v>9730448092</v>
      </c>
      <c r="D13" s="6" t="s">
        <v>30</v>
      </c>
      <c r="E13" s="6">
        <v>8</v>
      </c>
      <c r="F13" s="6">
        <v>9150</v>
      </c>
      <c r="G13" s="6"/>
      <c r="H13" s="6">
        <v>9150</v>
      </c>
      <c r="I13" s="6">
        <f t="shared" si="0"/>
        <v>0</v>
      </c>
      <c r="J13" s="6"/>
      <c r="K13" s="6"/>
      <c r="L13" s="6"/>
      <c r="M13" s="6" t="s">
        <v>19</v>
      </c>
      <c r="N13" s="6" t="s">
        <v>20</v>
      </c>
      <c r="O13" s="21" t="s">
        <v>346</v>
      </c>
      <c r="P13" s="21" t="s">
        <v>26</v>
      </c>
    </row>
    <row r="14" spans="1:16" ht="15.6">
      <c r="A14" s="39">
        <v>12</v>
      </c>
      <c r="B14" s="38" t="s">
        <v>347</v>
      </c>
      <c r="C14" s="38"/>
      <c r="D14" s="6" t="s">
        <v>30</v>
      </c>
      <c r="E14" s="6">
        <v>8</v>
      </c>
      <c r="F14" s="6">
        <v>9150</v>
      </c>
      <c r="G14" s="6"/>
      <c r="H14" s="6">
        <v>5000</v>
      </c>
      <c r="I14" s="6">
        <f t="shared" si="0"/>
        <v>4150</v>
      </c>
      <c r="J14" s="6"/>
      <c r="K14" s="6"/>
      <c r="L14" s="6"/>
      <c r="M14" s="6" t="s">
        <v>19</v>
      </c>
      <c r="N14" s="6" t="s">
        <v>20</v>
      </c>
      <c r="O14" s="21" t="s">
        <v>323</v>
      </c>
      <c r="P14" s="21" t="s">
        <v>249</v>
      </c>
    </row>
    <row r="15" spans="1:16" ht="15.6">
      <c r="A15" s="39">
        <v>13</v>
      </c>
      <c r="B15" s="38" t="s">
        <v>348</v>
      </c>
      <c r="C15" s="38"/>
      <c r="D15" s="6" t="s">
        <v>30</v>
      </c>
      <c r="E15" s="6">
        <v>8</v>
      </c>
      <c r="F15" s="6">
        <v>12200</v>
      </c>
      <c r="G15" s="6" t="s">
        <v>60</v>
      </c>
      <c r="H15" s="6" t="s">
        <v>60</v>
      </c>
      <c r="I15" s="6">
        <v>0</v>
      </c>
      <c r="J15" s="6"/>
      <c r="K15" s="6"/>
      <c r="L15" s="6"/>
      <c r="M15" s="6" t="s">
        <v>28</v>
      </c>
      <c r="N15" s="6" t="s">
        <v>24</v>
      </c>
      <c r="O15" s="21" t="s">
        <v>130</v>
      </c>
      <c r="P15" s="21" t="s">
        <v>294</v>
      </c>
    </row>
    <row r="16" spans="1:16" ht="15.6">
      <c r="A16" s="39">
        <v>14</v>
      </c>
      <c r="B16" s="38" t="s">
        <v>349</v>
      </c>
      <c r="C16" s="38">
        <v>9970847744</v>
      </c>
      <c r="D16" s="6" t="s">
        <v>30</v>
      </c>
      <c r="E16" s="6">
        <v>8</v>
      </c>
      <c r="F16" s="6">
        <v>12200</v>
      </c>
      <c r="G16" s="6"/>
      <c r="H16" s="6">
        <v>12200</v>
      </c>
      <c r="I16" s="6">
        <f t="shared" si="0"/>
        <v>0</v>
      </c>
      <c r="J16" s="6"/>
      <c r="K16" s="6"/>
      <c r="L16" s="6"/>
      <c r="M16" s="6" t="s">
        <v>19</v>
      </c>
      <c r="N16" s="6" t="s">
        <v>20</v>
      </c>
      <c r="O16" s="21" t="s">
        <v>350</v>
      </c>
      <c r="P16" s="21" t="s">
        <v>26</v>
      </c>
    </row>
    <row r="17" spans="1:16" ht="15.6">
      <c r="A17" s="39">
        <v>15</v>
      </c>
      <c r="B17" s="38" t="s">
        <v>351</v>
      </c>
      <c r="C17" s="38">
        <v>9657186400</v>
      </c>
      <c r="D17" s="6" t="s">
        <v>30</v>
      </c>
      <c r="E17" s="6">
        <v>8</v>
      </c>
      <c r="F17" s="6">
        <v>12200</v>
      </c>
      <c r="G17" s="6"/>
      <c r="H17" s="6">
        <v>10000</v>
      </c>
      <c r="I17" s="6">
        <f t="shared" si="0"/>
        <v>2200</v>
      </c>
      <c r="J17" s="6"/>
      <c r="K17" s="6"/>
      <c r="L17" s="6"/>
      <c r="M17" s="6" t="s">
        <v>19</v>
      </c>
      <c r="N17" s="6" t="s">
        <v>20</v>
      </c>
      <c r="O17" s="21" t="s">
        <v>352</v>
      </c>
      <c r="P17" s="21" t="s">
        <v>26</v>
      </c>
    </row>
    <row r="18" spans="1:16" ht="15.6">
      <c r="A18" s="39">
        <v>16</v>
      </c>
      <c r="B18" s="38" t="s">
        <v>353</v>
      </c>
      <c r="C18" s="38"/>
      <c r="D18" s="6" t="s">
        <v>30</v>
      </c>
      <c r="E18" s="6">
        <v>8</v>
      </c>
      <c r="F18" s="6">
        <v>12200</v>
      </c>
      <c r="G18" s="6"/>
      <c r="H18" s="6">
        <v>12200</v>
      </c>
      <c r="I18" s="6">
        <v>0</v>
      </c>
      <c r="J18" s="6"/>
      <c r="K18" s="6"/>
      <c r="L18" s="6"/>
      <c r="M18" s="6" t="s">
        <v>354</v>
      </c>
      <c r="N18" s="6" t="s">
        <v>36</v>
      </c>
      <c r="O18" s="21" t="s">
        <v>355</v>
      </c>
      <c r="P18" s="21" t="s">
        <v>26</v>
      </c>
    </row>
    <row r="19" spans="1:16" ht="15.6">
      <c r="A19" s="39">
        <v>17</v>
      </c>
      <c r="B19" s="38" t="s">
        <v>356</v>
      </c>
      <c r="C19" s="38">
        <v>9860528549</v>
      </c>
      <c r="D19" s="6" t="s">
        <v>30</v>
      </c>
      <c r="E19" s="6">
        <v>8</v>
      </c>
      <c r="F19" s="6">
        <v>3000</v>
      </c>
      <c r="G19" s="6"/>
      <c r="H19" s="6">
        <v>0</v>
      </c>
      <c r="I19" s="6">
        <f t="shared" ref="I19" si="1">F19-H19</f>
        <v>3000</v>
      </c>
      <c r="J19" s="6"/>
      <c r="K19" s="6"/>
      <c r="L19" s="6"/>
      <c r="M19" s="6"/>
      <c r="N19" s="6"/>
      <c r="O19" s="6"/>
      <c r="P19" s="21" t="s">
        <v>357</v>
      </c>
    </row>
    <row r="20" spans="1:16" ht="15.6">
      <c r="A20" s="6"/>
      <c r="B20" s="6"/>
      <c r="C20" s="6"/>
      <c r="D20" s="6"/>
      <c r="E20" s="6"/>
      <c r="F20" s="12">
        <f>SUM(F3:F19)</f>
        <v>203900</v>
      </c>
      <c r="G20" s="12"/>
      <c r="H20" s="12">
        <f t="shared" ref="H20" si="2">SUM(H3:H19)</f>
        <v>135550</v>
      </c>
      <c r="I20" s="32">
        <f>F20-H20</f>
        <v>68350</v>
      </c>
      <c r="J20" s="6"/>
      <c r="K20" s="6"/>
      <c r="L20" s="6"/>
      <c r="M20" s="6"/>
      <c r="N20" s="6"/>
      <c r="O20" s="6"/>
      <c r="P20" s="6"/>
    </row>
    <row r="23" spans="1:16">
      <c r="I23" s="1">
        <f>H20/F20*100</f>
        <v>66.478666012751347</v>
      </c>
    </row>
    <row r="24" spans="1:16">
      <c r="E24" s="11"/>
      <c r="F24" s="1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Nursery</vt:lpstr>
      <vt:lpstr>LKG</vt:lpstr>
      <vt:lpstr>UKG</vt:lpstr>
      <vt:lpstr>1st</vt:lpstr>
      <vt:lpstr>2nd</vt:lpstr>
      <vt:lpstr>3rd</vt:lpstr>
      <vt:lpstr>4th</vt:lpstr>
      <vt:lpstr>5th</vt:lpstr>
      <vt:lpstr>6th</vt:lpstr>
      <vt:lpstr>7th</vt:lpstr>
      <vt:lpstr>8th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dga22</dc:creator>
  <cp:lastModifiedBy>dga 18</cp:lastModifiedBy>
  <cp:lastPrinted>2025-11-17T05:59:00Z</cp:lastPrinted>
  <dcterms:created xsi:type="dcterms:W3CDTF">2025-11-04T07:42:00Z</dcterms:created>
  <dcterms:modified xsi:type="dcterms:W3CDTF">2026-06-29T09:22:44Z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22C011B370BB49E1BE21098741ADC894_12</vt:lpwstr>
  </property>
  <property fmtid="{D5CDD505-2E9C-101B-9397-08002B2CF9AE}" pid="3" name="KSOProductBuildVer">
    <vt:lpwstr>1033-12.2.0.23196</vt:lpwstr>
  </property>
</Properties>
</file>